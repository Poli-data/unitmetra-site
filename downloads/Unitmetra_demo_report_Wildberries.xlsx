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fd06c4bca741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Дашборд" sheetId="1" r:id="R54b91ea5584e41d5"/>
    <x:sheet xmlns:r="http://schemas.openxmlformats.org/officeDocument/2006/relationships" name="Данные_месяцы" sheetId="2" r:id="R28ab3e19892345ed"/>
    <x:sheet xmlns:r="http://schemas.openxmlformats.org/officeDocument/2006/relationships" name="SKU_анализ" sheetId="3" r:id="Rc04d7afea955430e"/>
    <x:sheet xmlns:r="http://schemas.openxmlformats.org/officeDocument/2006/relationships" name="Остатки_размеры" sheetId="4" r:id="R1ef4831e021c425f"/>
    <x:sheet xmlns:r="http://schemas.openxmlformats.org/officeDocument/2006/relationships" name="Прогноз_поставок" sheetId="5" r:id="R4b2450890eb74ed7"/>
    <x:sheet xmlns:r="http://schemas.openxmlformats.org/officeDocument/2006/relationships" name="План_30_дней" sheetId="6" r:id="Ra1b24a29093d4bd2"/>
    <x:sheet xmlns:r="http://schemas.openxmlformats.org/officeDocument/2006/relationships" name="Допущения" sheetId="7" r:id="R175a70dc18224f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x"/>
    <x:numFmt numFmtId="201" formatCode="#,##0;[Red](#,##0);-"/>
    <x:numFmt numFmtId="202" formatCode="0.0%;[Red](0.0%);-"/>
    <x:numFmt numFmtId="203" formatCode="0.0x;[Red](0.0x);-"/>
  </x:numFmts>
  <x:fonts count="10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263747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b/>
      <x:sz val="11"/>
      <x:color rgb="FF0B1F3A"/>
      <x:name val="Carlito"/>
    </x:font>
    <x:font>
      <x:b/>
      <x:sz val="20"/>
      <x:color rgb="FF0B1F3A"/>
      <x:name val="Carlito"/>
    </x:font>
    <x:font>
      <x:b/>
      <x:sz val="12"/>
      <x:color rgb="FF0B1F3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8F7F5"/>
      </x:patternFill>
    </x:fill>
    <x:fill>
      <x:patternFill patternType="solid">
        <x:fgColor rgb="FFFFFFFF"/>
      </x:patternFill>
    </x:fill>
    <x:fill>
      <x:patternFill patternType="solid">
        <x:fgColor rgb="FF18B6A4"/>
      </x:patternFill>
    </x:fill>
  </x:fills>
  <x:borders count="14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bottom/>
    </x:border>
    <x:border>
      <x:bottom/>
    </x:border>
    <x:border>
      <x:top/>
      <x:bottom/>
    </x:border>
    <x:border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1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6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7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0" fontId="3" fillId="0" borderId="7" xfId="0" applyNumberFormat="1" applyFont="1" applyFill="1" applyBorder="1" applyAlignment="1">
      <x:alignment vertical="center"/>
    </x:xf>
    <x:xf numFmtId="0" fontId="2" fillId="2" borderId="8" xfId="0" applyNumberFormat="1" applyFont="1" applyFill="1" applyBorder="1"/>
    <x:xf numFmtId="0" fontId="2" fillId="2" borderId="8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2" fillId="2" borderId="9" xfId="0" applyNumberFormat="1" applyFont="1" applyFill="1" applyBorder="1"/>
    <x:xf numFmtId="0" fontId="2" fillId="2" borderId="9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  <x:xf numFmtId="201" fontId="4" fillId="0" borderId="7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6" xfId="0" applyNumberFormat="1" applyFont="1" applyFill="1" applyBorder="1" applyAlignment="1">
      <x:alignment vertical="center"/>
    </x:xf>
    <x:xf numFmtId="201" fontId="5" fillId="0" borderId="1" xfId="0" applyNumberFormat="1" applyFont="1" applyFill="1" applyBorder="1" applyAlignment="1">
      <x:alignment vertical="center"/>
    </x:xf>
    <x:xf numFmtId="201" fontId="5" fillId="0" borderId="7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6" xfId="0" applyNumberFormat="1" applyFont="1" applyFill="1" applyBorder="1" applyAlignment="1">
      <x:alignment vertical="center"/>
    </x:xf>
    <x:xf numFmtId="202" fontId="4" fillId="0" borderId="1" xfId="0" applyNumberFormat="1" applyFont="1" applyFill="1" applyBorder="1" applyAlignment="1">
      <x:alignment vertical="center"/>
    </x:xf>
    <x:xf numFmtId="202" fontId="4" fillId="0" borderId="7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0" borderId="6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2" fontId="5" fillId="0" borderId="7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3" fontId="5" fillId="0" borderId="6" xfId="0" applyNumberFormat="1" applyFont="1" applyFill="1" applyBorder="1" applyAlignment="1">
      <x:alignment vertical="center"/>
    </x:xf>
    <x:xf numFmtId="203" fontId="5" fillId="0" borderId="1" xfId="0" applyNumberFormat="1" applyFont="1" applyFill="1" applyBorder="1" applyAlignment="1">
      <x:alignment vertical="center"/>
    </x:xf>
    <x:xf numFmtId="203" fontId="5" fillId="0" borderId="7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6" fillId="0" borderId="7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6" fillId="0" borderId="7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 applyAlignment="1">
      <x:alignment vertical="center"/>
    </x:xf>
    <x:xf numFmtId="203" fontId="6" fillId="0" borderId="6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3" fontId="6" fillId="0" borderId="7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201" fontId="3" fillId="0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0" xfId="0" applyNumberFormat="1" applyFont="1" applyFill="1" applyBorder="1"/>
    <x:xf numFmtId="0" fontId="8" fillId="4" borderId="10" xfId="0" applyNumberFormat="1" applyFont="1" applyFill="1" applyBorder="1" applyAlignment="1">
      <x:alignment horizontal="center"/>
    </x:xf>
    <x:xf numFmtId="0" fontId="8" fillId="4" borderId="1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8" fillId="4" borderId="1" xfId="0" applyNumberFormat="1" applyFont="1" applyFill="1" applyBorder="1"/>
    <x:xf numFmtId="0" fontId="8" fillId="4" borderId="11" xfId="0" applyNumberFormat="1" applyFont="1" applyFill="1" applyBorder="1"/>
    <x:xf numFmtId="0" fontId="8" fillId="4" borderId="11" xfId="0" applyNumberFormat="1" applyFont="1" applyFill="1" applyBorder="1" applyAlignment="1">
      <x:alignment horizontal="center"/>
    </x:xf>
    <x:xf numFmtId="0" fontId="8" fillId="4" borderId="11" xfId="0" applyNumberFormat="1" applyFont="1" applyFill="1" applyBorder="1" applyAlignment="1">
      <x:alignment horizontal="center" vertical="center"/>
    </x:xf>
    <x:xf numFmtId="201" fontId="8" fillId="4" borderId="10" xfId="0" applyNumberFormat="1" applyFont="1" applyFill="1" applyBorder="1" applyAlignment="1">
      <x:alignment horizontal="center" vertical="center"/>
    </x:xf>
    <x:xf numFmtId="201" fontId="8" fillId="4" borderId="1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202" fontId="8" fillId="4" borderId="10" xfId="0" applyNumberFormat="1" applyFont="1" applyFill="1" applyBorder="1" applyAlignment="1">
      <x:alignment horizontal="center" vertical="center"/>
    </x:xf>
    <x:xf numFmtId="202" fontId="8" fillId="4" borderId="11" xfId="0" applyNumberFormat="1" applyFont="1" applyFill="1" applyBorder="1" applyAlignment="1">
      <x:alignment horizontal="center" vertical="center"/>
    </x:xf>
    <x:xf numFmtId="202" fontId="3" fillId="0" borderId="0" xfId="0" applyNumberFormat="1" applyFont="1" applyFill="1" applyBorder="1" applyAlignment="1">
      <x:alignment vertical="center"/>
    </x:xf>
    <x:xf numFmtId="202" fontId="3" fillId="0" borderId="6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2" fontId="3" fillId="0" borderId="7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3" fontId="3" fillId="0" borderId="6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203" fontId="3" fillId="0" borderId="7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/>
    <x:xf numFmtId="0" fontId="9" fillId="3" borderId="12" xfId="0" applyNumberFormat="1" applyFont="1" applyFill="1" applyBorder="1"/>
    <x:xf numFmtId="0" fontId="9" fillId="3" borderId="12" xfId="0" applyNumberFormat="1" applyFont="1" applyFill="1" applyBorder="1" applyAlignment="1">
      <x:alignment wrapText="1"/>
    </x:xf>
    <x:xf numFmtId="0" fontId="9" fillId="3" borderId="12" xfId="0" applyNumberFormat="1" applyFont="1" applyFill="1" applyBorder="1" applyAlignment="1">
      <x:alignment horizontal="left" wrapText="1"/>
    </x:xf>
    <x:xf numFmtId="0" fontId="9" fillId="3" borderId="12" xfId="0" applyNumberFormat="1" applyFont="1" applyFill="1" applyBorder="1" applyAlignment="1">
      <x:alignment horizontal="left" vertical="center" wrapText="1"/>
    </x:xf>
    <x:xf numFmtId="0" fontId="9" fillId="3" borderId="1" xfId="0" applyNumberFormat="1" applyFont="1" applyFill="1" applyBorder="1"/>
    <x:xf numFmtId="0" fontId="9" fillId="3" borderId="13" xfId="0" applyNumberFormat="1" applyFont="1" applyFill="1" applyBorder="1"/>
    <x:xf numFmtId="0" fontId="9" fillId="3" borderId="13" xfId="0" applyNumberFormat="1" applyFont="1" applyFill="1" applyBorder="1" applyAlignment="1">
      <x:alignment wrapText="1"/>
    </x:xf>
    <x:xf numFmtId="0" fontId="9" fillId="3" borderId="13" xfId="0" applyNumberFormat="1" applyFont="1" applyFill="1" applyBorder="1" applyAlignment="1">
      <x:alignment horizontal="left" wrapText="1"/>
    </x:xf>
    <x:xf numFmtId="0" fontId="9" fillId="3" borderId="13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horizontal="left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201" fontId="8" fillId="4" borderId="10" xfId="0" applyNumberFormat="1" applyFont="1" applyFill="1" applyBorder="1" applyAlignment="1">
      <x:alignment horizontal="center" vertical="center" wrapText="1"/>
    </x:xf>
    <x:xf numFmtId="202" fontId="8" fillId="4" borderId="1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202" fontId="6" fillId="0" borderId="6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vertical="center" wrapText="1"/>
    </x:xf>
    <x:xf numFmtId="203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 wrapText="1"/>
    </x:xf>
    <x:xf numFmtId="201" fontId="3" fillId="0" borderId="6" xfId="0" applyNumberFormat="1" applyFont="1" applyFill="1" applyBorder="1" applyAlignment="1">
      <x:alignment vertical="center" wrapText="1"/>
    </x:xf>
    <x:xf numFmtId="203" fontId="3" fillId="0" borderId="6" xfId="0" applyNumberFormat="1" applyFont="1" applyFill="1" applyBorder="1" applyAlignment="1">
      <x:alignment vertical="center" wrapText="1"/>
    </x:xf>
    <x:xf numFmtId="202" fontId="3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  <x:color rgb="FFC0392B"/>
      </x:font>
      <x:fill>
        <x:patternFill patternType="solid">
          <x:bgColor rgb="FFFDECEC"/>
        </x:patternFill>
      </x:fill>
    </x:dxf>
    <x:dxf>
      <x:font>
        <x:b/>
        <x:color rgb="FFC0392B"/>
      </x:font>
      <x:fill>
        <x:patternFill patternType="solid">
          <x:bgColor rgb="FFFDECEC"/>
        </x:patternFill>
      </x:fill>
    </x:dxf>
    <x:dxf>
      <x:font>
        <x:b/>
        <x:color rgb="FFC0392B"/>
      </x:font>
      <x:fill>
        <x:patternFill patternType="solid">
          <x:bgColor rgb="FFFDECEC"/>
        </x:patternFill>
      </x:fill>
    </x:dxf>
    <x:dxf>
      <x:font>
        <x:b/>
        <x:color rgb="FF0D8F82"/>
      </x:font>
      <x:fill>
        <x:patternFill patternType="solid">
          <x:bgColor rgb="FFE8F7F5"/>
        </x:patternFill>
      </x:fill>
    </x:dxf>
    <x:dxf>
      <x:font>
        <x:b/>
        <x:color rgb="FFB7791F"/>
      </x:font>
      <x:fill>
        <x:patternFill patternType="solid">
          <x:bgColor rgb="FFFFF3CD"/>
        </x:patternFill>
      </x:fill>
    </x:dxf>
    <x:dxf>
      <x:font>
        <x:b/>
        <x:color rgb="FFC0392B"/>
      </x:font>
      <x:fill>
        <x:patternFill patternType="solid">
          <x:bgColor rgb="FFFDECEC"/>
        </x:patternFill>
      </x:fill>
    </x:dxf>
    <x:dxf>
      <x:font>
        <x:b/>
        <x:color rgb="FF0D8F82"/>
      </x:font>
      <x:fill>
        <x:patternFill patternType="solid">
          <x:bgColor rgb="FFE8F7F5"/>
        </x:patternFill>
      </x:fill>
    </x:dxf>
    <x:dxf>
      <x:font>
        <x:b/>
        <x:color rgb="FFB7791F"/>
      </x:font>
      <x:fill>
        <x:patternFill patternType="solid">
          <x:bgColor rgb="FFFFF3CD"/>
        </x:patternFill>
      </x:fill>
    </x:dxf>
    <x:dxf>
      <x:font>
        <x:b/>
        <x:color rgb="FFC0392B"/>
      </x:font>
      <x:fill>
        <x:patternFill patternType="solid">
          <x:bgColor rgb="FFFDECEC"/>
        </x:patternFill>
      </x:fill>
    </x:dxf>
    <x:dxf>
      <x:font>
        <x:b/>
        <x:color rgb="FF0D8F82"/>
      </x:font>
      <x:fill>
        <x:patternFill patternType="solid">
          <x:bgColor rgb="FFE8F7F5"/>
        </x:patternFill>
      </x:fill>
    </x:dxf>
    <x:dxf>
      <x:font>
        <x:b/>
        <x:color rgb="FF0D8F82"/>
      </x:font>
      <x:fill>
        <x:patternFill patternType="solid">
          <x:bgColor rgb="FFE8F7F5"/>
        </x:patternFill>
      </x:fill>
    </x:dxf>
    <x:dxf>
      <x:font>
        <x:b/>
        <x:color rgb="FFB7791F"/>
      </x:font>
      <x:fill>
        <x:patternFill patternType="solid">
          <x:bgColor rgb="FFFFF3CD"/>
        </x:patternFill>
      </x:fill>
    </x:dxf>
    <x:dxf>
      <x:font>
        <x:b/>
        <x:color rgb="FFC0392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028a2883d347d2" /><Relationship Type="http://schemas.openxmlformats.org/officeDocument/2006/relationships/theme" Target="/xl/theme/theme1.xml" Id="R1865bffdbdd649d5" /><Relationship Type="http://schemas.openxmlformats.org/officeDocument/2006/relationships/sharedStrings" Target="/xl/sharedStrings.xml" Id="Re5355a46d58f4d57" /><Relationship Type="http://schemas.openxmlformats.org/officeDocument/2006/relationships/worksheet" Target="/xl/worksheets/sheet1.xml" Id="R54b91ea5584e41d5" /><Relationship Type="http://schemas.openxmlformats.org/officeDocument/2006/relationships/worksheet" Target="/xl/worksheets/sheet2.xml" Id="R28ab3e19892345ed" /><Relationship Type="http://schemas.openxmlformats.org/officeDocument/2006/relationships/worksheet" Target="/xl/worksheets/sheet3.xml" Id="Rc04d7afea955430e" /><Relationship Type="http://schemas.openxmlformats.org/officeDocument/2006/relationships/worksheet" Target="/xl/worksheets/sheet4.xml" Id="R1ef4831e021c425f" /><Relationship Type="http://schemas.openxmlformats.org/officeDocument/2006/relationships/worksheet" Target="/xl/worksheets/sheet5.xml" Id="R4b2450890eb74ed7" /><Relationship Type="http://schemas.openxmlformats.org/officeDocument/2006/relationships/worksheet" Target="/xl/worksheets/sheet6.xml" Id="Ra1b24a29093d4bd2" /><Relationship Type="http://schemas.openxmlformats.org/officeDocument/2006/relationships/worksheet" Target="/xl/worksheets/sheet7.xml" Id="R175a70dc18224ff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9914e18ed0e42bb" /><Relationship Type="http://schemas.openxmlformats.org/officeDocument/2006/relationships/chart" Target="/xl/drawings/charts/chart2.xml" Id="R65b121cfe5c7460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Динамика выручки и чистой прибыли</a:t>
            </a:r>
          </a:p>
        </c:rich>
      </c:tx>
      <c:overlay val="0"/>
    </c:title>
    <c:autoTitleDeleted val="0"/>
    <c:plotArea>
      <c:layout/>
      <c:lineChart>
        <c:grouping val="standard"/>
        <c:ser>
          <c:idx val="0"/>
          <c:order val="0"/>
          <c:tx>
            <c:v>Выручка, ₽</c:v>
          </c:tx>
          <c:cat>
            <c:strRef>
              <c:f>'Дашборд'!$A$14:$A$19</c:f>
              <c:strCache>
                <c:ptCount val="0"/>
              </c:strCache>
            </c:strRef>
          </c:cat>
          <c:val>
            <c:numRef>
              <c:f>'Дашборд'!$B$14:$B$19</c:f>
              <c:numCache>
                <c:formatCode>#,##0;[Red](#,##0);-</c:formatCode>
                <c:ptCount val="0"/>
              </c:numCache>
            </c:numRef>
          </c:val>
          <c:smooth val="0"/>
        </c:ser>
        <c:ser>
          <c:idx val="1"/>
          <c:order val="1"/>
          <c:tx>
            <c:v>Чистая прибыль, ₽</c:v>
          </c:tx>
          <c:cat>
            <c:strRef>
              <c:f>'Дашборд'!$A$14:$A$19</c:f>
              <c:strCache>
                <c:ptCount val="0"/>
              </c:strCache>
            </c:strRef>
          </c:cat>
          <c:val>
            <c:numRef>
              <c:f>'Дашборд'!$C$14:$C$19</c:f>
              <c:numCache>
                <c:formatCode>#,##0;[Red](#,##0);-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Прибыльность категорий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Выручка, ₽</c:v>
          </c:tx>
          <c:cat>
            <c:strRef>
              <c:f>'Дашборд'!$A$23:$A$28</c:f>
              <c:strCache>
                <c:ptCount val="0"/>
              </c:strCache>
            </c:strRef>
          </c:cat>
          <c:val>
            <c:numRef>
              <c:f>'Дашборд'!$B$23:$B$28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Чистая прибыль, ₽</c:v>
          </c:tx>
          <c:cat>
            <c:strRef>
              <c:f>'Дашборд'!$A$23:$A$28</c:f>
              <c:strCache>
                <c:ptCount val="0"/>
              </c:strCache>
            </c:strRef>
          </c:cat>
          <c:val>
            <c:numRef>
              <c:f>'Дашборд'!$C$23:$C$28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914e18ed0e42bb"/>
        </a:graphicData>
      </a:graphic>
    </xdr:graphicFrame>
    <xdr:clientData/>
  </xdr:twoCellAnchor>
  <xdr:twoCellAnchor>
    <xdr:from>
      <xdr:col>6</xdr:col>
      <xdr:colOff>0</xdr:colOff>
      <xdr:row>30</xdr:row>
      <xdr:rowOff>0</xdr:rowOff>
    </xdr:from>
    <xdr:to>
      <xdr:col>12</xdr:col>
      <xdr:colOff>0</xdr:colOff>
      <xdr:row>47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b121cfe5c7460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onthlyDataTable" displayName="MonthlyDataTable" ref="A1:Y301" headerRowCount="1">
  <x:tableColumns count="25">
    <x:tableColumn id="1" name="Месяц"/>
    <x:tableColumn id="2" name="SKU"/>
    <x:tableColumn id="3" name="Товар"/>
    <x:tableColumn id="4" name="Категория"/>
    <x:tableColumn id="5" name="Цена до скидки, ₽"/>
    <x:tableColumn id="6" name="Скидка, %"/>
    <x:tableColumn id="7" name="Себестоимость ед., ₽"/>
    <x:tableColumn id="8" name="Комиссия, %"/>
    <x:tableColumn id="9" name="Заказы, ед."/>
    <x:tableColumn id="10" name="Возвраты, ед."/>
    <x:tableColumn id="11" name="Выкупы, ед."/>
    <x:tableColumn id="12" name="Средняя цена продажи, ₽"/>
    <x:tableColumn id="13" name="Логистика, ₽"/>
    <x:tableColumn id="14" name="Обратная логистика, ₽"/>
    <x:tableColumn id="15" name="Хранение, ₽"/>
    <x:tableColumn id="16" name="Штрафы, ₽"/>
    <x:tableColumn id="17" name="Реклама, ₽"/>
    <x:tableColumn id="18" name="Выкуп, %"/>
    <x:tableColumn id="19" name="Выручка, ₽"/>
    <x:tableColumn id="20" name="Комиссия, ₽"/>
    <x:tableColumn id="21" name="Себестоимость продаж, ₽"/>
    <x:tableColumn id="22" name="Чистая прибыль, ₽"/>
    <x:tableColumn id="23" name="Маржа, %"/>
    <x:tableColumn id="24" name="ROAS"/>
    <x:tableColumn id="25" name="Источник"/>
  </x:tableColumns>
  <x:tableStyleInfo name="TableStyleMedium2" showRowStripes="1"/>
</x:table>
</file>

<file path=xl/tables/table2.xml><?xml version="1.0" encoding="utf-8"?>
<x:table xmlns:x="http://schemas.openxmlformats.org/spreadsheetml/2006/main" id="2" name="SkuAnalysisTable" displayName="SkuAnalysisTable" ref="A1:R51" headerRowCount="1">
  <x:tableColumns count="18">
    <x:tableColumn id="1" name="SKU"/>
    <x:tableColumn id="2" name="Товар"/>
    <x:tableColumn id="3" name="Категория"/>
    <x:tableColumn id="4" name="Заказы, ед."/>
    <x:tableColumn id="5" name="Возвраты, ед."/>
    <x:tableColumn id="6" name="Выкупы, ед."/>
    <x:tableColumn id="7" name="Выкуп, %"/>
    <x:tableColumn id="8" name="Выручка, ₽"/>
    <x:tableColumn id="9" name="Реклама, ₽"/>
    <x:tableColumn id="10" name="ROAS"/>
    <x:tableColumn id="11" name="Логистика, ₽"/>
    <x:tableColumn id="12" name="Обратная логистика, ₽"/>
    <x:tableColumn id="13" name="Хранение, ₽"/>
    <x:tableColumn id="14" name="Штрафы, ₽"/>
    <x:tableColumn id="15" name="Себестоимость, ₽"/>
    <x:tableColumn id="16" name="Чистая прибыль, ₽"/>
    <x:tableColumn id="17" name="Маржа, %"/>
    <x:tableColumn id="18" name="Статус"/>
  </x:tableColumns>
  <x:tableStyleInfo name="TableStyleMedium2" showRowStripes="1"/>
</x:table>
</file>

<file path=xl/tables/table3.xml><?xml version="1.0" encoding="utf-8"?>
<x:table xmlns:x="http://schemas.openxmlformats.org/spreadsheetml/2006/main" id="3" name="InventorySizeTable" displayName="InventorySizeTable" ref="A1:L251" headerRowCount="1">
  <x:tableColumns count="12">
    <x:tableColumn id="1" name="SKU"/>
    <x:tableColumn id="2" name="Товар"/>
    <x:tableColumn id="3" name="Категория"/>
    <x:tableColumn id="4" name="Размер"/>
    <x:tableColumn id="5" name="Прогноз, ед."/>
    <x:tableColumn id="6" name="Целевой запас 45д, ед."/>
    <x:tableColumn id="7" name="Текущий остаток, ед."/>
    <x:tableColumn id="8" name="Избыток, ед."/>
    <x:tableColumn id="9" name="Дефицит, ед."/>
    <x:tableColumn id="10" name="Себестоимость ед., ₽"/>
    <x:tableColumn id="11" name="Заморожено денег, ₽"/>
    <x:tableColumn id="12" name="Статус"/>
  </x:tableColumns>
  <x:tableStyleInfo name="TableStyleMedium2" showRowStripes="1"/>
</x:table>
</file>

<file path=xl/tables/table4.xml><?xml version="1.0" encoding="utf-8"?>
<x:table xmlns:x="http://schemas.openxmlformats.org/spreadsheetml/2006/main" id="4" name="ForecastSupplyTable" displayName="ForecastSupplyTable" ref="A1:K51" headerRowCount="1">
  <x:tableColumns count="11">
    <x:tableColumn id="1" name="SKU"/>
    <x:tableColumn id="2" name="Товар"/>
    <x:tableColumn id="3" name="Категория"/>
    <x:tableColumn id="4" name="Прогноз марта, ед."/>
    <x:tableColumn id="5" name="Текущий остаток, ед."/>
    <x:tableColumn id="6" name="Целевой запас 45д, ед."/>
    <x:tableColumn id="7" name="Рекомендуемая поставка, ед."/>
    <x:tableColumn id="8" name="Избыток, ед."/>
    <x:tableColumn id="9" name="Заморожено денег, ₽"/>
    <x:tableColumn id="10" name="Статус"/>
    <x:tableColumn id="11" name="Рекомендация"/>
  </x:tableColumns>
  <x:tableStyleInfo name="TableStyleMedium2" showRowStripes="1"/>
</x:table>
</file>

<file path=xl/tables/table5.xml><?xml version="1.0" encoding="utf-8"?>
<x:table xmlns:x="http://schemas.openxmlformats.org/spreadsheetml/2006/main" id="5" name="ActionPlanTable" displayName="ActionPlanTable" ref="A1:G7" headerRowCount="1">
  <x:tableColumns count="7">
    <x:tableColumn id="1" name="Приоритет"/>
    <x:tableColumn id="2" name="Срок"/>
    <x:tableColumn id="3" name="Действие"/>
    <x:tableColumn id="4" name="Расчётный эффект, ₽"/>
    <x:tableColumn id="5" name="Высвобождение денег, ₽"/>
    <x:tableColumn id="6" name="Ожидаемый результат"/>
    <x:tableColumn id="7" name="Статус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99b01bfdcb47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f0bbb4ceae941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6af8a3f5bea49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3f3c58a9904ba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d7fcb3915d541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8b57fef12e4614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2" customHeight="1">
      <x:c r="A1" s="142" t="str">
        <x:v>UNITMETRA | Аудит прибыльности магазина женской одежды</x:v>
      </x:c>
      <x:c r="B1" s="143"/>
      <x:c r="C1" s="143"/>
      <x:c r="D1" s="143"/>
      <x:c r="E1" s="143"/>
      <x:c r="F1" s="143"/>
      <x:c r="G1" s="143"/>
      <x:c r="H1" s="143"/>
      <x:c r="I1" s="143"/>
      <x:c r="J1" s="143"/>
      <x:c r="K1" s="143"/>
      <x:c r="L1" s="143"/>
    </x:row>
    <x:row r="2" ht="24" customHeight="1">
      <x:c r="A2" s="144" t="str">
        <x:v>Демонстрационный кейс на моделируемых данных | Wildberries | 50 артикулов | 6 месяцев</x:v>
      </x:c>
      <x:c r="B2" s="143"/>
      <x:c r="C2" s="143"/>
      <x:c r="D2" s="143"/>
      <x:c r="E2" s="143"/>
      <x:c r="F2" s="143"/>
      <x:c r="G2" s="143"/>
      <x:c r="H2" s="143"/>
      <x:c r="I2" s="143"/>
      <x:c r="J2" s="143"/>
      <x:c r="K2" s="143"/>
      <x:c r="L2" s="143"/>
    </x:row>
    <x:row r="3" ht="23" customHeight="1">
      <x:c r="A3" s="145" t="str">
        <x:v>Выручка за 6 месяцев</x:v>
      </x:c>
      <x:c r="B3" s="143"/>
      <x:c r="C3" s="143"/>
      <x:c r="D3" s="145" t="str">
        <x:v>Чистая прибыль</x:v>
      </x:c>
      <x:c r="E3" s="143"/>
      <x:c r="F3" s="143"/>
      <x:c r="G3" s="145" t="str">
        <x:v>Расходы на рекламу</x:v>
      </x:c>
      <x:c r="H3" s="143"/>
      <x:c r="I3" s="143"/>
      <x:c r="J3" s="145" t="str">
        <x:v>Убыточные артикулы</x:v>
      </x:c>
      <x:c r="K3" s="143"/>
      <x:c r="L3" s="143"/>
    </x:row>
    <x:row r="4">
      <x:c r="A4" s="146" t="n">
        <x:f>SUM('Данные_месяцы'!S2:S301)</x:f>
        <x:v>23447341.83690792</x:v>
      </x:c>
      <x:c r="B4" s="143"/>
      <x:c r="C4" s="143"/>
      <x:c r="D4" s="146" t="n">
        <x:f>SUM('Данные_месяцы'!V2:V301)</x:f>
        <x:v>4219848.565094928</x:v>
      </x:c>
      <x:c r="E4" s="143"/>
      <x:c r="F4" s="143"/>
      <x:c r="G4" s="146" t="n">
        <x:f>SUM('Данные_месяцы'!Q2:Q301)</x:f>
        <x:v>2074837.5817157035</x:v>
      </x:c>
      <x:c r="H4" s="143"/>
      <x:c r="I4" s="143"/>
      <x:c r="J4" s="146" t="n">
        <x:f>COUNTIF('SKU_анализ'!R2:R51,"Убыточный")</x:f>
        <x:v>8</x:v>
      </x:c>
      <x:c r="K4" s="143"/>
      <x:c r="L4" s="143"/>
    </x:row>
    <x:row r="5">
      <x:c r="A5" s="143"/>
      <x:c r="B5" s="143"/>
      <x:c r="C5" s="143"/>
      <x:c r="D5" s="143"/>
      <x:c r="E5" s="143"/>
      <x:c r="F5" s="143"/>
      <x:c r="G5" s="143"/>
      <x:c r="H5" s="143"/>
      <x:c r="I5" s="143"/>
      <x:c r="J5" s="143"/>
      <x:c r="K5" s="143"/>
      <x:c r="L5" s="143"/>
    </x:row>
    <x:row r="6">
      <x:c r="A6" s="143"/>
      <x:c r="B6" s="143"/>
      <x:c r="C6" s="143"/>
      <x:c r="D6" s="143"/>
      <x:c r="E6" s="143"/>
      <x:c r="F6" s="143"/>
      <x:c r="G6" s="143"/>
      <x:c r="H6" s="143"/>
      <x:c r="I6" s="143"/>
      <x:c r="J6" s="143"/>
      <x:c r="K6" s="143"/>
      <x:c r="L6" s="143"/>
    </x:row>
    <x:row r="7" ht="23" customHeight="1">
      <x:c r="A7" s="145" t="str">
        <x:v>Деньги в избыточных остатках</x:v>
      </x:c>
      <x:c r="B7" s="143"/>
      <x:c r="C7" s="143"/>
      <x:c r="D7" s="145" t="str">
        <x:v>Расчётный эффект</x:v>
      </x:c>
      <x:c r="E7" s="143"/>
      <x:c r="F7" s="143"/>
      <x:c r="G7" s="145" t="str">
        <x:v>Рекомендуемая поставка</x:v>
      </x:c>
      <x:c r="H7" s="143"/>
      <x:c r="I7" s="143"/>
      <x:c r="J7" s="145" t="str">
        <x:v>Текущая маржа</x:v>
      </x:c>
      <x:c r="K7" s="143"/>
      <x:c r="L7" s="143"/>
    </x:row>
    <x:row r="8">
      <x:c r="A8" s="146" t="n">
        <x:f>SUM('Остатки_размеры'!K2:K251)</x:f>
        <x:v>1047325.4937925369</x:v>
      </x:c>
      <x:c r="B8" s="143"/>
      <x:c r="C8" s="143"/>
      <x:c r="D8" s="146" t="n">
        <x:f>SUM('План_30_дней'!D2:D7)</x:f>
        <x:v>494051.2023014022</x:v>
      </x:c>
      <x:c r="E8" s="143"/>
      <x:c r="F8" s="143"/>
      <x:c r="G8" s="146" t="n">
        <x:f>SUM('Прогноз_поставок'!G2:G51)</x:f>
        <x:v>209</x:v>
      </x:c>
      <x:c r="H8" s="143"/>
      <x:c r="I8" s="143"/>
      <x:c r="J8" s="147" t="n">
        <x:f>SUM('Данные_месяцы'!V2:V301)/SUM('Данные_месяцы'!S2:S301)</x:f>
        <x:v>0.1799712988554021</x:v>
      </x:c>
      <x:c r="K8" s="143"/>
      <x:c r="L8" s="143"/>
    </x:row>
    <x:row r="9">
      <x:c r="A9" s="143"/>
      <x:c r="B9" s="143"/>
      <x:c r="C9" s="143"/>
      <x:c r="D9" s="143"/>
      <x:c r="E9" s="143"/>
      <x:c r="F9" s="143"/>
      <x:c r="G9" s="143"/>
      <x:c r="H9" s="143"/>
      <x:c r="I9" s="143"/>
      <x:c r="J9" s="143"/>
      <x:c r="K9" s="143"/>
      <x:c r="L9" s="143"/>
    </x:row>
    <x:row r="10">
      <x:c r="A10" s="143"/>
      <x:c r="B10" s="143"/>
      <x:c r="C10" s="143"/>
      <x:c r="D10" s="143"/>
      <x:c r="E10" s="143"/>
      <x:c r="F10" s="143"/>
      <x:c r="G10" s="143"/>
      <x:c r="H10" s="143"/>
      <x:c r="I10" s="143"/>
      <x:c r="J10" s="143"/>
      <x:c r="K10" s="143"/>
      <x:c r="L10" s="143"/>
    </x:row>
    <x:row r="11">
      <x:c r="A11" s="143"/>
      <x:c r="B11" s="143"/>
      <x:c r="C11" s="143"/>
      <x:c r="D11" s="143"/>
      <x:c r="E11" s="143"/>
      <x:c r="F11" s="143"/>
      <x:c r="G11" s="143"/>
      <x:c r="H11" s="143"/>
      <x:c r="I11" s="143"/>
      <x:c r="J11" s="143"/>
      <x:c r="K11" s="143"/>
      <x:c r="L11" s="143"/>
    </x:row>
    <x:row r="12">
      <x:c r="A12" s="143"/>
      <x:c r="B12" s="143"/>
      <x:c r="C12" s="143"/>
      <x:c r="D12" s="143"/>
      <x:c r="E12" s="143"/>
      <x:c r="F12" s="143"/>
      <x:c r="G12" s="143"/>
      <x:c r="H12" s="143"/>
      <x:c r="I12" s="143"/>
      <x:c r="J12" s="143"/>
      <x:c r="K12" s="143"/>
      <x:c r="L12" s="143"/>
    </x:row>
    <x:row r="13" ht="28" customHeight="1">
      <x:c r="A13" s="17" t="str">
        <x:v>Месяц</x:v>
      </x:c>
      <x:c r="B13" s="43" t="str">
        <x:v>Выручка, ₽</x:v>
      </x:c>
      <x:c r="C13" s="43" t="str">
        <x:v>Чистая прибыль, ₽</x:v>
      </x:c>
      <x:c r="D13" s="18" t="str">
        <x:v>Маржа, %</x:v>
      </x:c>
      <x:c r="E13" s="143"/>
      <x:c r="F13" s="143"/>
      <x:c r="G13" s="143"/>
      <x:c r="H13" s="143"/>
      <x:c r="I13" s="143"/>
      <x:c r="J13" s="143"/>
      <x:c r="K13" s="143"/>
      <x:c r="L13" s="143"/>
    </x:row>
    <x:row r="14">
      <x:c r="A14" s="148" t="str">
        <x:v>Сен 2025</x:v>
      </x:c>
      <x:c r="B14" s="149" t="n">
        <x:f>SUMIF('Данные_месяцы'!$A$2:$A$301,"2025-09",'Данные_месяцы'!$S$2:$S$301)</x:f>
        <x:v>3221578.5477942573</x:v>
      </x:c>
      <x:c r="C14" s="149" t="n">
        <x:f>SUMIF('Данные_месяцы'!$A$2:$A$301,"2025-09",'Данные_месяцы'!$V$2:$V$301)</x:f>
        <x:v>624910.3247311466</x:v>
      </x:c>
      <x:c r="D14" s="150" t="n">
        <x:f>IFERROR(C14/B14,0)</x:f>
        <x:v>0.19397643591804045</x:v>
      </x:c>
      <x:c r="E14" s="143"/>
      <x:c r="F14" s="143"/>
      <x:c r="G14" s="143"/>
      <x:c r="H14" s="143"/>
      <x:c r="I14" s="143"/>
      <x:c r="J14" s="143"/>
      <x:c r="K14" s="143"/>
      <x:c r="L14" s="143"/>
    </x:row>
    <x:row r="15">
      <x:c r="A15" s="148" t="str">
        <x:v>Окт 2025</x:v>
      </x:c>
      <x:c r="B15" s="149" t="n">
        <x:f>SUMIF('Данные_месяцы'!$A$2:$A$301,"2025-10",'Данные_месяцы'!$S$2:$S$301)</x:f>
        <x:v>4003360.9557165615</x:v>
      </x:c>
      <x:c r="C15" s="149" t="n">
        <x:f>SUMIF('Данные_месяцы'!$A$2:$A$301,"2025-10",'Данные_месяцы'!$V$2:$V$301)</x:f>
        <x:v>780256.8195656098</x:v>
      </x:c>
      <x:c r="D15" s="150" t="n">
        <x:f>IFERROR(C15/B15,0)</x:f>
        <x:v>0.19490044195276707</x:v>
      </x:c>
      <x:c r="E15" s="143"/>
      <x:c r="F15" s="143"/>
      <x:c r="G15" s="143"/>
      <x:c r="H15" s="143"/>
      <x:c r="I15" s="143"/>
      <x:c r="J15" s="143"/>
      <x:c r="K15" s="143"/>
      <x:c r="L15" s="143"/>
    </x:row>
    <x:row r="16">
      <x:c r="A16" s="148" t="str">
        <x:v>Ноя 2025</x:v>
      </x:c>
      <x:c r="B16" s="149" t="n">
        <x:f>SUMIF('Данные_месяцы'!$A$2:$A$301,"2025-11",'Данные_месяцы'!$S$2:$S$301)</x:f>
        <x:v>5044981.77775931</x:v>
      </x:c>
      <x:c r="C16" s="149" t="n">
        <x:f>SUMIF('Данные_месяцы'!$A$2:$A$301,"2025-11",'Данные_месяцы'!$V$2:$V$301)</x:f>
        <x:v>888956.3728228235</x:v>
      </x:c>
      <x:c r="D16" s="150" t="n">
        <x:f>IFERROR(C16/B16,0)</x:f>
        <x:v>0.1762060621788106</x:v>
      </x:c>
      <x:c r="E16" s="143"/>
      <x:c r="F16" s="143"/>
      <x:c r="G16" s="143"/>
      <x:c r="H16" s="143"/>
      <x:c r="I16" s="143"/>
      <x:c r="J16" s="143"/>
      <x:c r="K16" s="143"/>
      <x:c r="L16" s="143"/>
    </x:row>
    <x:row r="17">
      <x:c r="A17" s="148" t="str">
        <x:v>Дек 2025</x:v>
      </x:c>
      <x:c r="B17" s="149" t="n">
        <x:f>SUMIF('Данные_месяцы'!$A$2:$A$301,"2025-12",'Данные_месяцы'!$S$2:$S$301)</x:f>
        <x:v>4976582.780185209</x:v>
      </x:c>
      <x:c r="C17" s="149" t="n">
        <x:f>SUMIF('Данные_месяцы'!$A$2:$A$301,"2025-12",'Данные_месяцы'!$V$2:$V$301)</x:f>
        <x:v>782461.334377417</x:v>
      </x:c>
      <x:c r="D17" s="150" t="n">
        <x:f>IFERROR(C17/B17,0)</x:f>
        <x:v>0.15722863839276816</x:v>
      </x:c>
      <x:c r="E17" s="143"/>
      <x:c r="F17" s="143"/>
      <x:c r="G17" s="143"/>
      <x:c r="H17" s="143"/>
      <x:c r="I17" s="143"/>
      <x:c r="J17" s="143"/>
      <x:c r="K17" s="143"/>
      <x:c r="L17" s="143"/>
    </x:row>
    <x:row r="18">
      <x:c r="A18" s="148" t="str">
        <x:v>Янв 2026</x:v>
      </x:c>
      <x:c r="B18" s="149" t="n">
        <x:f>SUMIF('Данные_месяцы'!$A$2:$A$301,"2026-01",'Данные_месяцы'!$S$2:$S$301)</x:f>
        <x:v>3140825.224986212</x:v>
      </x:c>
      <x:c r="C18" s="149" t="n">
        <x:f>SUMIF('Данные_месяцы'!$A$2:$A$301,"2026-01",'Данные_месяцы'!$V$2:$V$301)</x:f>
        <x:v>559389.1478709546</x:v>
      </x:c>
      <x:c r="D18" s="150" t="n">
        <x:f>IFERROR(C18/B18,0)</x:f>
        <x:v>0.17810260291494262</x:v>
      </x:c>
      <x:c r="E18" s="143"/>
      <x:c r="F18" s="143"/>
      <x:c r="G18" s="143"/>
      <x:c r="H18" s="143"/>
      <x:c r="I18" s="143"/>
      <x:c r="J18" s="143"/>
      <x:c r="K18" s="143"/>
      <x:c r="L18" s="143"/>
    </x:row>
    <x:row r="19">
      <x:c r="A19" s="151" t="str">
        <x:v>Фев 2026</x:v>
      </x:c>
      <x:c r="B19" s="152" t="n">
        <x:f>SUMIF('Данные_месяцы'!$A$2:$A$301,"2026-02",'Данные_месяцы'!$S$2:$S$301)</x:f>
        <x:v>3060012.550466369</x:v>
      </x:c>
      <x:c r="C19" s="152" t="n">
        <x:f>SUMIF('Данные_месяцы'!$A$2:$A$301,"2026-02",'Данные_месяцы'!$V$2:$V$301)</x:f>
        <x:v>583874.5657269759</x:v>
      </x:c>
      <x:c r="D19" s="153" t="n">
        <x:f>IFERROR(C19/B19,0)</x:f>
        <x:v>0.1908078990192341</x:v>
      </x:c>
      <x:c r="E19" s="143"/>
      <x:c r="F19" s="143"/>
      <x:c r="G19" s="143"/>
      <x:c r="H19" s="143"/>
      <x:c r="I19" s="143"/>
      <x:c r="J19" s="143"/>
      <x:c r="K19" s="143"/>
      <x:c r="L19" s="143"/>
    </x:row>
    <x:row r="20">
      <x:c r="A20" s="143"/>
      <x:c r="B20" s="143"/>
      <x:c r="C20" s="143"/>
      <x:c r="D20" s="143"/>
      <x:c r="E20" s="143"/>
      <x:c r="F20" s="143"/>
      <x:c r="G20" s="143"/>
      <x:c r="H20" s="143"/>
      <x:c r="I20" s="143"/>
      <x:c r="J20" s="143"/>
      <x:c r="K20" s="143"/>
      <x:c r="L20" s="143"/>
    </x:row>
    <x:row r="21">
      <x:c r="A21" s="143"/>
      <x:c r="B21" s="143"/>
      <x:c r="C21" s="143"/>
      <x:c r="D21" s="143"/>
      <x:c r="E21" s="143"/>
      <x:c r="F21" s="143"/>
      <x:c r="G21" s="143"/>
      <x:c r="H21" s="143"/>
      <x:c r="I21" s="143"/>
      <x:c r="J21" s="143"/>
      <x:c r="K21" s="143"/>
      <x:c r="L21" s="143"/>
    </x:row>
    <x:row r="22" ht="28" customHeight="1">
      <x:c r="A22" s="17" t="str">
        <x:v>Категория</x:v>
      </x:c>
      <x:c r="B22" s="43" t="str">
        <x:v>Выручка, ₽</x:v>
      </x:c>
      <x:c r="C22" s="43" t="str">
        <x:v>Чистая прибыль, ₽</x:v>
      </x:c>
      <x:c r="D22" s="18" t="str">
        <x:v>Маржа, %</x:v>
      </x:c>
      <x:c r="E22" s="143"/>
      <x:c r="F22" s="143"/>
      <x:c r="G22" s="143"/>
      <x:c r="H22" s="143"/>
      <x:c r="I22" s="143"/>
      <x:c r="J22" s="143"/>
      <x:c r="K22" s="143"/>
      <x:c r="L22" s="143"/>
    </x:row>
    <x:row r="23">
      <x:c r="A23" s="148" t="str">
        <x:v>Платья</x:v>
      </x:c>
      <x:c r="B23" s="149" t="n">
        <x:f>SUMIF('Данные_месяцы'!$D$2:$D$301,A23,'Данные_месяцы'!$S$2:$S$301)</x:f>
        <x:v>4231343.287899177</x:v>
      </x:c>
      <x:c r="C23" s="149" t="n">
        <x:f>SUMIF('Данные_месяцы'!$D$2:$D$301,A23,'Данные_месяцы'!$V$2:$V$301)</x:f>
        <x:v>588153.3438901269</x:v>
      </x:c>
      <x:c r="D23" s="150" t="n">
        <x:f>IFERROR(C23/B23,0)</x:f>
        <x:v>0.1389992028233993</x:v>
      </x:c>
      <x:c r="E23" s="143"/>
      <x:c r="F23" s="143"/>
      <x:c r="G23" s="143"/>
      <x:c r="H23" s="143"/>
      <x:c r="I23" s="143"/>
      <x:c r="J23" s="143"/>
      <x:c r="K23" s="143"/>
      <x:c r="L23" s="143"/>
    </x:row>
    <x:row r="24">
      <x:c r="A24" s="148" t="str">
        <x:v>Костюмы</x:v>
      </x:c>
      <x:c r="B24" s="149" t="n">
        <x:f>SUMIF('Данные_месяцы'!$D$2:$D$301,A24,'Данные_месяцы'!$S$2:$S$301)</x:f>
        <x:v>4369094.797940217</x:v>
      </x:c>
      <x:c r="C24" s="149" t="n">
        <x:f>SUMIF('Данные_месяцы'!$D$2:$D$301,A24,'Данные_месяцы'!$V$2:$V$301)</x:f>
        <x:v>994010.2670935224</x:v>
      </x:c>
      <x:c r="D24" s="150" t="n">
        <x:f>IFERROR(C24/B24,0)</x:f>
        <x:v>0.22750942999958307</x:v>
      </x:c>
      <x:c r="E24" s="143"/>
      <x:c r="F24" s="143"/>
      <x:c r="G24" s="143"/>
      <x:c r="H24" s="143"/>
      <x:c r="I24" s="143"/>
      <x:c r="J24" s="143"/>
      <x:c r="K24" s="143"/>
      <x:c r="L24" s="143"/>
    </x:row>
    <x:row r="25">
      <x:c r="A25" s="148" t="str">
        <x:v>Блузки</x:v>
      </x:c>
      <x:c r="B25" s="149" t="n">
        <x:f>SUMIF('Данные_месяцы'!$D$2:$D$301,A25,'Данные_месяцы'!$S$2:$S$301)</x:f>
        <x:v>2607748.5980438804</x:v>
      </x:c>
      <x:c r="C25" s="149" t="n">
        <x:f>SUMIF('Данные_месяцы'!$D$2:$D$301,A25,'Данные_месяцы'!$V$2:$V$301)</x:f>
        <x:v>370096.4526517578</x:v>
      </x:c>
      <x:c r="D25" s="150" t="n">
        <x:f>IFERROR(C25/B25,0)</x:f>
        <x:v>0.1419218297842721</x:v>
      </x:c>
      <x:c r="E25" s="143"/>
      <x:c r="F25" s="143"/>
      <x:c r="G25" s="143"/>
      <x:c r="H25" s="143"/>
      <x:c r="I25" s="143"/>
      <x:c r="J25" s="143"/>
      <x:c r="K25" s="143"/>
      <x:c r="L25" s="143"/>
    </x:row>
    <x:row r="26">
      <x:c r="A26" s="148" t="str">
        <x:v>Брюки</x:v>
      </x:c>
      <x:c r="B26" s="149" t="n">
        <x:f>SUMIF('Данные_месяцы'!$D$2:$D$301,A26,'Данные_месяцы'!$S$2:$S$301)</x:f>
        <x:v>2375763.8987990073</x:v>
      </x:c>
      <x:c r="C26" s="149" t="n">
        <x:f>SUMIF('Данные_месяцы'!$D$2:$D$301,A26,'Данные_месяцы'!$V$2:$V$301)</x:f>
        <x:v>295125.4654986606</x:v>
      </x:c>
      <x:c r="D26" s="150" t="n">
        <x:f>IFERROR(C26/B26,0)</x:f>
        <x:v>0.12422339848157975</x:v>
      </x:c>
      <x:c r="E26" s="143"/>
      <x:c r="F26" s="143"/>
      <x:c r="G26" s="143"/>
      <x:c r="H26" s="143"/>
      <x:c r="I26" s="143"/>
      <x:c r="J26" s="143"/>
      <x:c r="K26" s="143"/>
      <x:c r="L26" s="143"/>
    </x:row>
    <x:row r="27">
      <x:c r="A27" s="148" t="str">
        <x:v>Трикотаж</x:v>
      </x:c>
      <x:c r="B27" s="149" t="n">
        <x:f>SUMIF('Данные_месяцы'!$D$2:$D$301,A27,'Данные_месяцы'!$S$2:$S$301)</x:f>
        <x:v>3232924.9195570047</x:v>
      </x:c>
      <x:c r="C27" s="149" t="n">
        <x:f>SUMIF('Данные_месяцы'!$D$2:$D$301,A27,'Данные_месяцы'!$V$2:$V$301)</x:f>
        <x:v>810857.334165639</x:v>
      </x:c>
      <x:c r="D27" s="150" t="n">
        <x:f>IFERROR(C27/B27,0)</x:f>
        <x:v>0.2508122998033458</x:v>
      </x:c>
      <x:c r="E27" s="143"/>
      <x:c r="F27" s="143"/>
      <x:c r="G27" s="143"/>
      <x:c r="H27" s="143"/>
      <x:c r="I27" s="143"/>
      <x:c r="J27" s="143"/>
      <x:c r="K27" s="143"/>
      <x:c r="L27" s="143"/>
    </x:row>
    <x:row r="28">
      <x:c r="A28" s="151" t="str">
        <x:v>Верхняя одежда</x:v>
      </x:c>
      <x:c r="B28" s="152" t="n">
        <x:f>SUMIF('Данные_месяцы'!$D$2:$D$301,A28,'Данные_месяцы'!$S$2:$S$301)</x:f>
        <x:v>6630466.334668632</x:v>
      </x:c>
      <x:c r="C28" s="152" t="n">
        <x:f>SUMIF('Данные_месяцы'!$D$2:$D$301,A28,'Данные_месяцы'!$V$2:$V$301)</x:f>
        <x:v>1161605.7017952208</x:v>
      </x:c>
      <x:c r="D28" s="153" t="n">
        <x:f>IFERROR(C28/B28,0)</x:f>
        <x:v>0.17519215740852925</x:v>
      </x:c>
      <x:c r="E28" s="143"/>
      <x:c r="F28" s="143"/>
      <x:c r="G28" s="143"/>
      <x:c r="H28" s="143"/>
      <x:c r="I28" s="143"/>
      <x:c r="J28" s="143"/>
      <x:c r="K28" s="143"/>
      <x:c r="L28" s="143"/>
    </x:row>
    <x:row r="29">
      <x:c r="A29" s="143"/>
      <x:c r="B29" s="143"/>
      <x:c r="C29" s="143"/>
      <x:c r="D29" s="143"/>
      <x:c r="E29" s="143"/>
      <x:c r="F29" s="143"/>
      <x:c r="G29" s="143"/>
      <x:c r="H29" s="143"/>
      <x:c r="I29" s="143"/>
      <x:c r="J29" s="143"/>
      <x:c r="K29" s="143"/>
      <x:c r="L29" s="143"/>
    </x:row>
    <x:row r="30">
      <x:c r="A30" s="143"/>
      <x:c r="B30" s="143"/>
      <x:c r="C30" s="143"/>
      <x:c r="D30" s="143"/>
      <x:c r="E30" s="143"/>
      <x:c r="F30" s="143"/>
      <x:c r="G30" s="143"/>
      <x:c r="H30" s="143"/>
      <x:c r="I30" s="143"/>
      <x:c r="J30" s="143"/>
      <x:c r="K30" s="143"/>
      <x:c r="L30" s="143"/>
    </x:row>
    <x:row r="31" ht="28" customHeight="1">
      <x:c r="A31" s="17" t="str">
        <x:v>SKU</x:v>
      </x:c>
      <x:c r="B31" s="43" t="str">
        <x:v>Товар</x:v>
      </x:c>
      <x:c r="C31" s="43" t="str">
        <x:v>Категория</x:v>
      </x:c>
      <x:c r="D31" s="43" t="str">
        <x:v>Прибыль, ₽</x:v>
      </x:c>
      <x:c r="E31" s="43" t="str">
        <x:v>ROAS</x:v>
      </x:c>
      <x:c r="F31" s="18" t="str">
        <x:v>Выкуп, %</x:v>
      </x:c>
      <x:c r="G31" s="143"/>
      <x:c r="H31" s="143"/>
      <x:c r="I31" s="143"/>
      <x:c r="J31" s="143"/>
      <x:c r="K31" s="143"/>
      <x:c r="L31" s="143"/>
    </x:row>
    <x:row r="32">
      <x:c r="A32" s="148" t="str">
        <x:v>UM-001</x:v>
      </x:c>
      <x:c r="B32" s="148" t="str">
        <x:v>Миди с поясом</x:v>
      </x:c>
      <x:c r="C32" s="148" t="str">
        <x:v>Платья</x:v>
      </x:c>
      <x:c r="D32" s="154" t="n">
        <x:v>-64196.18620446068</x:v>
      </x:c>
      <x:c r="E32" s="155" t="n">
        <x:v>3.3548882343414483</x:v>
      </x:c>
      <x:c r="F32" s="156" t="n">
        <x:v>0.3992673992673993</x:v>
      </x:c>
      <x:c r="G32" s="143"/>
      <x:c r="H32" s="143"/>
      <x:c r="I32" s="143"/>
      <x:c r="J32" s="143"/>
      <x:c r="K32" s="143"/>
      <x:c r="L32" s="143"/>
    </x:row>
    <x:row r="33">
      <x:c r="A33" s="148" t="str">
        <x:v>UM-047</x:v>
      </x:c>
      <x:c r="B33" s="148" t="str">
        <x:v>Косуха</x:v>
      </x:c>
      <x:c r="C33" s="148" t="str">
        <x:v>Верхняя одежда</x:v>
      </x:c>
      <x:c r="D33" s="154" t="n">
        <x:v>-49896.617562718195</x:v>
      </x:c>
      <x:c r="E33" s="155" t="n">
        <x:v>4.726442156739936</x:v>
      </x:c>
      <x:c r="F33" s="156" t="n">
        <x:v>0.40569395017793597</x:v>
      </x:c>
      <x:c r="G33" s="143"/>
      <x:c r="H33" s="143"/>
      <x:c r="I33" s="143"/>
      <x:c r="J33" s="143"/>
      <x:c r="K33" s="143"/>
      <x:c r="L33" s="143"/>
    </x:row>
    <x:row r="34">
      <x:c r="A34" s="148" t="str">
        <x:v>UM-027</x:v>
      </x:c>
      <x:c r="B34" s="148" t="str">
        <x:v>Палаццо</x:v>
      </x:c>
      <x:c r="C34" s="148" t="str">
        <x:v>Брюки</x:v>
      </x:c>
      <x:c r="D34" s="154" t="n">
        <x:v>-46820.6799108606</x:v>
      </x:c>
      <x:c r="E34" s="155" t="n">
        <x:v>3.3391257953839895</x:v>
      </x:c>
      <x:c r="F34" s="156" t="n">
        <x:v>0.3688212927756654</x:v>
      </x:c>
      <x:c r="G34" s="143"/>
      <x:c r="H34" s="143"/>
      <x:c r="I34" s="143"/>
      <x:c r="J34" s="143"/>
      <x:c r="K34" s="143"/>
      <x:c r="L34" s="143"/>
    </x:row>
    <x:row r="35">
      <x:c r="A35" s="148" t="str">
        <x:v>UM-029</x:v>
      </x:c>
      <x:c r="B35" s="148" t="str">
        <x:v>Карго</x:v>
      </x:c>
      <x:c r="C35" s="148" t="str">
        <x:v>Брюки</x:v>
      </x:c>
      <x:c r="D35" s="154" t="n">
        <x:v>-35973.20234520312</x:v>
      </x:c>
      <x:c r="E35" s="155" t="n">
        <x:v>3.052988533887762</x:v>
      </x:c>
      <x:c r="F35" s="156" t="n">
        <x:v>0.4607329842931937</x:v>
      </x:c>
      <x:c r="G35" s="143"/>
      <x:c r="H35" s="143"/>
      <x:c r="I35" s="143"/>
      <x:c r="J35" s="143"/>
      <x:c r="K35" s="143"/>
      <x:c r="L35" s="143"/>
    </x:row>
    <x:row r="36">
      <x:c r="A36" s="148" t="str">
        <x:v>UM-045</x:v>
      </x:c>
      <x:c r="B36" s="148" t="str">
        <x:v>Тренч</x:v>
      </x:c>
      <x:c r="C36" s="148" t="str">
        <x:v>Верхняя одежда</x:v>
      </x:c>
      <x:c r="D36" s="154" t="n">
        <x:v>-32827.52994249268</x:v>
      </x:c>
      <x:c r="E36" s="155" t="n">
        <x:v>3.0132491648320467</x:v>
      </x:c>
      <x:c r="F36" s="156" t="n">
        <x:v>0.4823008849557522</x:v>
      </x:c>
      <x:c r="G36" s="143"/>
      <x:c r="H36" s="143"/>
      <x:c r="I36" s="143"/>
      <x:c r="J36" s="143"/>
      <x:c r="K36" s="143"/>
      <x:c r="L36" s="143"/>
    </x:row>
    <x:row r="37">
      <x:c r="A37" s="148" t="str">
        <x:v>UM-022</x:v>
      </x:c>
      <x:c r="B37" s="148" t="str">
        <x:v>Рубашка oversize</x:v>
      </x:c>
      <x:c r="C37" s="148" t="str">
        <x:v>Блузки</x:v>
      </x:c>
      <x:c r="D37" s="154" t="n">
        <x:v>-20559.049974111847</x:v>
      </x:c>
      <x:c r="E37" s="155" t="n">
        <x:v>3.5130929671904805</x:v>
      </x:c>
      <x:c r="F37" s="156" t="n">
        <x:v>0.45751633986928103</x:v>
      </x:c>
      <x:c r="G37" s="143"/>
      <x:c r="H37" s="143"/>
      <x:c r="I37" s="143"/>
      <x:c r="J37" s="143"/>
      <x:c r="K37" s="143"/>
      <x:c r="L37" s="143"/>
    </x:row>
    <x:row r="38">
      <x:c r="A38" s="148" t="str">
        <x:v>UM-006</x:v>
      </x:c>
      <x:c r="B38" s="148" t="str">
        <x:v>Вечернее макси</x:v>
      </x:c>
      <x:c r="C38" s="148" t="str">
        <x:v>Платья</x:v>
      </x:c>
      <x:c r="D38" s="154" t="n">
        <x:v>-12691.486779023624</x:v>
      </x:c>
      <x:c r="E38" s="155" t="n">
        <x:v>4.617833314041943</x:v>
      </x:c>
      <x:c r="F38" s="156" t="n">
        <x:v>0.3220338983050847</x:v>
      </x:c>
      <x:c r="G38" s="143"/>
      <x:c r="H38" s="143"/>
      <x:c r="I38" s="143"/>
      <x:c r="J38" s="143"/>
      <x:c r="K38" s="143"/>
      <x:c r="L38" s="143"/>
    </x:row>
    <x:row r="39">
      <x:c r="A39" s="151" t="str">
        <x:v>UM-024</x:v>
      </x:c>
      <x:c r="B39" s="151" t="str">
        <x:v>Топ с длинным рукавом</x:v>
      </x:c>
      <x:c r="C39" s="151" t="str">
        <x:v>Блузки</x:v>
      </x:c>
      <x:c r="D39" s="157" t="n">
        <x:v>-1.6247792613539787</x:v>
      </x:c>
      <x:c r="E39" s="158" t="n">
        <x:v>3.3916492019859126</x:v>
      </x:c>
      <x:c r="F39" s="159" t="n">
        <x:v>0.46122448979591835</x:v>
      </x:c>
      <x:c r="G39" s="143"/>
      <x:c r="H39" s="143"/>
      <x:c r="I39" s="143"/>
      <x:c r="J39" s="143"/>
      <x:c r="K39" s="143"/>
      <x:c r="L39" s="143"/>
    </x:row>
    <x:row r="40">
      <x:c r="A40" s="143"/>
      <x:c r="B40" s="143"/>
      <x:c r="C40" s="143"/>
      <x:c r="D40" s="143"/>
      <x:c r="E40" s="143"/>
      <x:c r="F40" s="143"/>
      <x:c r="G40" s="143"/>
      <x:c r="H40" s="143"/>
      <x:c r="I40" s="143"/>
      <x:c r="J40" s="143"/>
      <x:c r="K40" s="143"/>
      <x:c r="L40" s="143"/>
    </x:row>
    <x:row r="41">
      <x:c r="A41" s="143"/>
      <x:c r="B41" s="143"/>
      <x:c r="C41" s="143"/>
      <x:c r="D41" s="143"/>
      <x:c r="E41" s="143"/>
      <x:c r="F41" s="143"/>
      <x:c r="G41" s="143"/>
      <x:c r="H41" s="143"/>
      <x:c r="I41" s="143"/>
      <x:c r="J41" s="143"/>
      <x:c r="K41" s="143"/>
      <x:c r="L41" s="143"/>
    </x:row>
    <x:row r="42">
      <x:c r="A42" s="136" t="str">
        <x:v>Ключевой вывод: высокий оборот скрывал восемь убыточных артикулов, неэффективную рекламу и более 1 млн ₽ в избыточных остатках. Консервативный расчётный эффект корректирующих действий - около 494 тыс. ₽ за сопоставимый шестимесячный период, без учёта дополнительной выручки от устранения дефицита.</x:v>
      </x:c>
      <x:c r="B42" s="143"/>
      <x:c r="C42" s="143"/>
      <x:c r="D42" s="143"/>
      <x:c r="E42" s="143"/>
      <x:c r="F42" s="143"/>
      <x:c r="G42" s="143"/>
      <x:c r="H42" s="143"/>
      <x:c r="I42" s="143"/>
      <x:c r="J42" s="143"/>
      <x:c r="K42" s="143"/>
      <x:c r="L42" s="143"/>
    </x:row>
    <x:row r="43">
      <x:c r="A43" s="143"/>
      <x:c r="B43" s="143"/>
      <x:c r="C43" s="143"/>
      <x:c r="D43" s="143"/>
      <x:c r="E43" s="143"/>
      <x:c r="F43" s="143"/>
      <x:c r="G43" s="143"/>
      <x:c r="H43" s="143"/>
      <x:c r="I43" s="143"/>
      <x:c r="J43" s="143"/>
      <x:c r="K43" s="143"/>
      <x:c r="L43" s="143"/>
    </x:row>
    <x:row r="44">
      <x:c r="A44" s="143"/>
      <x:c r="B44" s="143"/>
      <x:c r="C44" s="143"/>
      <x:c r="D44" s="143"/>
      <x:c r="E44" s="143"/>
      <x:c r="F44" s="143"/>
      <x:c r="G44" s="143"/>
      <x:c r="H44" s="143"/>
      <x:c r="I44" s="143"/>
      <x:c r="J44" s="143"/>
      <x:c r="K44" s="143"/>
      <x:c r="L44" s="143"/>
    </x:row>
    <x:row r="45">
      <x:c r="A45" s="143"/>
      <x:c r="B45" s="143"/>
      <x:c r="C45" s="143"/>
      <x:c r="D45" s="143"/>
      <x:c r="E45" s="143"/>
      <x:c r="F45" s="143"/>
      <x:c r="G45" s="143"/>
      <x:c r="H45" s="143"/>
      <x:c r="I45" s="143"/>
      <x:c r="J45" s="143"/>
      <x:c r="K45" s="143"/>
      <x:c r="L45" s="143"/>
    </x:row>
    <x:row r="46">
      <x:c r="A46" s="143"/>
      <x:c r="B46" s="143"/>
      <x:c r="C46" s="143"/>
      <x:c r="D46" s="143"/>
      <x:c r="E46" s="143"/>
      <x:c r="F46" s="143"/>
      <x:c r="G46" s="143"/>
      <x:c r="H46" s="143"/>
      <x:c r="I46" s="143"/>
      <x:c r="J46" s="143"/>
      <x:c r="K46" s="143"/>
      <x:c r="L46" s="143"/>
    </x:row>
    <x:row r="47">
      <x:c r="A47" s="143"/>
      <x:c r="B47" s="143"/>
      <x:c r="C47" s="143"/>
      <x:c r="D47" s="143"/>
      <x:c r="E47" s="143"/>
      <x:c r="F47" s="143"/>
      <x:c r="G47" s="143"/>
      <x:c r="H47" s="143"/>
      <x:c r="I47" s="143"/>
      <x:c r="J47" s="143"/>
      <x:c r="K47" s="143"/>
      <x:c r="L47" s="143"/>
    </x:row>
  </x:sheetData>
  <x:mergeCells>
    <x:mergeCell ref="A1:L1"/>
    <x:mergeCell ref="A2:L2"/>
    <x:mergeCell ref="A4:C6"/>
    <x:mergeCell ref="A3:C3"/>
    <x:mergeCell ref="D4:F6"/>
    <x:mergeCell ref="D3:F3"/>
    <x:mergeCell ref="G4:I6"/>
    <x:mergeCell ref="G3:I3"/>
    <x:mergeCell ref="J4:L6"/>
    <x:mergeCell ref="J3:L3"/>
    <x:mergeCell ref="A8:C10"/>
    <x:mergeCell ref="A7:C7"/>
    <x:mergeCell ref="D8:F10"/>
    <x:mergeCell ref="D7:F7"/>
    <x:mergeCell ref="G8:I10"/>
    <x:mergeCell ref="G7:I7"/>
    <x:mergeCell ref="J8:L10"/>
    <x:mergeCell ref="J7:L7"/>
    <x:mergeCell ref="A42:F45"/>
  </x:mergeCells>
  <x:conditionalFormatting sqref="D32:D39">
    <x:cfRule type="expression" dxfId="12" priority="1">
      <x:formula>D32&lt;0</x:formula>
    </x:cfRule>
  </x:conditionalFormatting>
  <x:pageMargins left="0.7" right="0.7" top="0.75" bottom="0.75" header="0.3" footer="0.3"/>
  <x:drawing xmlns:r="http://schemas.openxmlformats.org/officeDocument/2006/relationships" r:id="Rea99b01bfdcb471f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25" hidden="0" customWidth="1"/>
    <x:col min="4" max="4" width="20" hidden="0" customWidth="1"/>
    <x:col min="5" max="5" width="15" hidden="0" customWidth="1"/>
    <x:col min="6" max="6" width="12" hidden="0" customWidth="1"/>
    <x:col min="7" max="7" width="17" hidden="0" customWidth="1"/>
    <x:col min="8" max="8" width="12" hidden="0" customWidth="1"/>
    <x:col min="9" max="9" width="12" hidden="0" customWidth="1"/>
    <x:col min="10" max="10" width="13" hidden="0" customWidth="1"/>
    <x:col min="11" max="11" width="12" hidden="0" customWidth="1"/>
    <x:col min="12" max="12" width="19" hidden="0" customWidth="1"/>
    <x:col min="13" max="13" width="15" hidden="0" customWidth="1"/>
    <x:col min="14" max="14" width="21" hidden="0" customWidth="1"/>
    <x:col min="15" max="15" width="14" hidden="0" customWidth="1"/>
    <x:col min="16" max="16" width="12" hidden="0" customWidth="1"/>
    <x:col min="17" max="17" width="14" hidden="0" customWidth="1"/>
    <x:col min="18" max="18" width="11" hidden="0" customWidth="1"/>
    <x:col min="19" max="19" width="15" hidden="0" customWidth="1"/>
    <x:col min="20" max="20" width="15" hidden="0" customWidth="1"/>
    <x:col min="21" max="21" width="24" hidden="0" customWidth="1"/>
    <x:col min="22" max="22" width="18" hidden="0" customWidth="1"/>
    <x:col min="23" max="23" width="12" hidden="0" customWidth="1"/>
    <x:col min="24" max="24" width="10" hidden="0" customWidth="1"/>
    <x:col min="25" max="25" width="30" hidden="0" customWidth="1"/>
  </x:cols>
  <x:sheetData>
    <x:row r="1" ht="28" customHeight="1">
      <x:c r="A1" s="17" t="str">
        <x:v>Месяц</x:v>
      </x:c>
      <x:c r="B1" s="43" t="str">
        <x:v>SKU</x:v>
      </x:c>
      <x:c r="C1" s="43" t="str">
        <x:v>Товар</x:v>
      </x:c>
      <x:c r="D1" s="43" t="str">
        <x:v>Категория</x:v>
      </x:c>
      <x:c r="E1" s="43" t="str">
        <x:v>Цена до скидки, ₽</x:v>
      </x:c>
      <x:c r="F1" s="43" t="str">
        <x:v>Скидка, %</x:v>
      </x:c>
      <x:c r="G1" s="43" t="str">
        <x:v>Себестоимость ед., ₽</x:v>
      </x:c>
      <x:c r="H1" s="43" t="str">
        <x:v>Комиссия, %</x:v>
      </x:c>
      <x:c r="I1" s="43" t="str">
        <x:v>Заказы, ед.</x:v>
      </x:c>
      <x:c r="J1" s="43" t="str">
        <x:v>Возвраты, ед.</x:v>
      </x:c>
      <x:c r="K1" s="43" t="str">
        <x:v>Выкупы, ед.</x:v>
      </x:c>
      <x:c r="L1" s="43" t="str">
        <x:v>Средняя цена продажи, ₽</x:v>
      </x:c>
      <x:c r="M1" s="43" t="str">
        <x:v>Логистика, ₽</x:v>
      </x:c>
      <x:c r="N1" s="43" t="str">
        <x:v>Обратная логистика, ₽</x:v>
      </x:c>
      <x:c r="O1" s="43" t="str">
        <x:v>Хранение, ₽</x:v>
      </x:c>
      <x:c r="P1" s="43" t="str">
        <x:v>Штрафы, ₽</x:v>
      </x:c>
      <x:c r="Q1" s="43" t="str">
        <x:v>Реклама, ₽</x:v>
      </x:c>
      <x:c r="R1" s="43" t="str">
        <x:v>Выкуп, %</x:v>
      </x:c>
      <x:c r="S1" s="43" t="str">
        <x:v>Выручка, ₽</x:v>
      </x:c>
      <x:c r="T1" s="43" t="str">
        <x:v>Комиссия, ₽</x:v>
      </x:c>
      <x:c r="U1" s="43" t="str">
        <x:v>Себестоимость продаж, ₽</x:v>
      </x:c>
      <x:c r="V1" s="43" t="str">
        <x:v>Чистая прибыль, ₽</x:v>
      </x:c>
      <x:c r="W1" s="43" t="str">
        <x:v>Маржа, %</x:v>
      </x:c>
      <x:c r="X1" s="43" t="str">
        <x:v>ROAS</x:v>
      </x:c>
      <x:c r="Y1" s="18" t="str">
        <x:v>Источник</x:v>
      </x:c>
    </x:row>
    <x:row r="2">
      <x:c r="A2" s="48" t="str">
        <x:v>2025-09</x:v>
      </x:c>
      <x:c r="B2" s="48" t="str">
        <x:v>UM-001</x:v>
      </x:c>
      <x:c r="C2" s="48" t="str">
        <x:v>Миди с поясом</x:v>
      </x:c>
      <x:c r="D2" s="48" t="str">
        <x:v>Платья</x:v>
      </x:c>
      <x:c r="E2" s="56" t="n">
        <x:v>5400</x:v>
      </x:c>
      <x:c r="F2" s="64" t="n">
        <x:v>0.21022055036032838</x:v>
      </x:c>
      <x:c r="G2" s="56" t="n">
        <x:v>2327.2019416984476</x:v>
      </x:c>
      <x:c r="H2" s="64" t="n">
        <x:v>0.18329620717606773</x:v>
      </x:c>
      <x:c r="I2" s="56" t="n">
        <x:v>32</x:v>
      </x:c>
      <x:c r="J2" s="56" t="n">
        <x:v>18</x:v>
      </x:c>
      <x:c r="K2" s="56" t="n">
        <x:v>14</x:v>
      </x:c>
      <x:c r="L2" s="56" t="n">
        <x:v>4264.8090280542265</x:v>
      </x:c>
      <x:c r="M2" s="56" t="n">
        <x:v>3647.2433189415333</x:v>
      </x:c>
      <x:c r="N2" s="56" t="n">
        <x:v>1020.9052476827605</x:v>
      </x:c>
      <x:c r="O2" s="56" t="n">
        <x:v>1182.338939227039</x:v>
      </x:c>
      <x:c r="P2" s="56" t="n">
        <x:v>0</x:v>
      </x:c>
      <x:c r="Q2" s="56" t="n">
        <x:v>18007.971289076573</x:v>
      </x:c>
      <x:c r="R2" s="68" t="n">
        <x:f>IFERROR(K2/I2,0)</x:f>
        <x:v>0.4375</x:v>
      </x:c>
      <x:c r="S2" s="60" t="n">
        <x:f>K2*L2</x:f>
        <x:v>59707.32639275917</x:v>
      </x:c>
      <x:c r="T2" s="60" t="n">
        <x:f>S2*H2</x:f>
        <x:v>10944.126468416282</x:v>
      </x:c>
      <x:c r="U2" s="60" t="n">
        <x:f>K2*G2</x:f>
        <x:v>32580.827183778267</x:v>
      </x:c>
      <x:c r="V2" s="60" t="n">
        <x:f>S2-T2-M2-N2-O2-P2-Q2-U2</x:f>
        <x:v>-7676.086054363288</x:v>
      </x:c>
      <x:c r="W2" s="68" t="n">
        <x:f>IFERROR(V2/S2,0)</x:f>
        <x:v>-0.12856187871936237</x:v>
      </x:c>
      <x:c r="X2" s="72" t="n">
        <x:f>IFERROR(S2/Q2,0)</x:f>
        <x:v>3.3156053746585514</x:v>
      </x:c>
      <x:c r="Y2" s="30" t="str">
        <x:v>Моделируемые данные Unitmetra</x:v>
      </x:c>
    </x:row>
    <x:row r="3">
      <x:c r="A3" s="48" t="str">
        <x:v>2025-10</x:v>
      </x:c>
      <x:c r="B3" s="48" t="str">
        <x:v>UM-001</x:v>
      </x:c>
      <x:c r="C3" s="48" t="str">
        <x:v>Миди с поясом</x:v>
      </x:c>
      <x:c r="D3" s="48" t="str">
        <x:v>Платья</x:v>
      </x:c>
      <x:c r="E3" s="56" t="n">
        <x:v>5400</x:v>
      </x:c>
      <x:c r="F3" s="64" t="n">
        <x:v>0.2202205503603284</x:v>
      </x:c>
      <x:c r="G3" s="56" t="n">
        <x:v>2327.2019416984476</x:v>
      </x:c>
      <x:c r="H3" s="64" t="n">
        <x:v>0.18329620717606773</x:v>
      </x:c>
      <x:c r="I3" s="56" t="n">
        <x:v>46</x:v>
      </x:c>
      <x:c r="J3" s="56" t="n">
        <x:v>27</x:v>
      </x:c>
      <x:c r="K3" s="56" t="n">
        <x:v>19</x:v>
      </x:c>
      <x:c r="L3" s="56" t="n">
        <x:v>4210.8090280542265</x:v>
      </x:c>
      <x:c r="M3" s="56" t="n">
        <x:v>3909.859569922383</x:v>
      </x:c>
      <x:c r="N3" s="56" t="n">
        <x:v>1893.670102056319</x:v>
      </x:c>
      <x:c r="O3" s="56" t="n">
        <x:v>1005.3624015049812</x:v>
      </x:c>
      <x:c r="P3" s="56" t="n">
        <x:v>8.092142068393352</x:v>
      </x:c>
      <x:c r="Q3" s="56" t="n">
        <x:v>24564.962493837764</x:v>
      </x:c>
      <x:c r="R3" s="68" t="n">
        <x:f>IFERROR(K3/I3,0)</x:f>
        <x:v>0.41304347826086957</x:v>
      </x:c>
      <x:c r="S3" s="60" t="n">
        <x:f>K3*L3</x:f>
        <x:v>80005.37153303031</x:v>
      </x:c>
      <x:c r="T3" s="60" t="n">
        <x:f>S3*H3</x:f>
        <x:v>14664.681155716595</x:v>
      </x:c>
      <x:c r="U3" s="60" t="n">
        <x:f>K3*G3</x:f>
        <x:v>44216.836892270505</x:v>
      </x:c>
      <x:c r="V3" s="60" t="n">
        <x:f>S3-T3-M3-N3-O3-P3-Q3-U3</x:f>
        <x:v>-10258.09322434663</x:v>
      </x:c>
      <x:c r="W3" s="68" t="n">
        <x:f>IFERROR(V3/S3,0)</x:f>
        <x:v>-0.1282175562438525</x:v>
      </x:c>
      <x:c r="X3" s="72" t="n">
        <x:f>IFERROR(S3/Q3,0)</x:f>
        <x:v>3.2568896269676793</x:v>
      </x:c>
      <x:c r="Y3" s="30" t="str">
        <x:v>Моделируемые данные Unitmetra</x:v>
      </x:c>
    </x:row>
    <x:row r="4">
      <x:c r="A4" s="48" t="str">
        <x:v>2025-11</x:v>
      </x:c>
      <x:c r="B4" s="48" t="str">
        <x:v>UM-001</x:v>
      </x:c>
      <x:c r="C4" s="48" t="str">
        <x:v>Миди с поясом</x:v>
      </x:c>
      <x:c r="D4" s="48" t="str">
        <x:v>Платья</x:v>
      </x:c>
      <x:c r="E4" s="56" t="n">
        <x:v>5400</x:v>
      </x:c>
      <x:c r="F4" s="64" t="n">
        <x:v>0.2502205503603283</x:v>
      </x:c>
      <x:c r="G4" s="56" t="n">
        <x:v>2327.2019416984476</x:v>
      </x:c>
      <x:c r="H4" s="64" t="n">
        <x:v>0.18329620717606773</x:v>
      </x:c>
      <x:c r="I4" s="56" t="n">
        <x:v>54</x:v>
      </x:c>
      <x:c r="J4" s="56" t="n">
        <x:v>33</x:v>
      </x:c>
      <x:c r="K4" s="56" t="n">
        <x:v>21</x:v>
      </x:c>
      <x:c r="L4" s="56" t="n">
        <x:v>4048.809028054227</x:v>
      </x:c>
      <x:c r="M4" s="56" t="n">
        <x:v>6437.242335381153</x:v>
      </x:c>
      <x:c r="N4" s="56" t="n">
        <x:v>2420.428169917299</x:v>
      </x:c>
      <x:c r="O4" s="56" t="n">
        <x:v>507.35159897054274</x:v>
      </x:c>
      <x:c r="P4" s="56" t="n">
        <x:v>0</x:v>
      </x:c>
      <x:c r="Q4" s="56" t="n">
        <x:v>25370.996852292767</x:v>
      </x:c>
      <x:c r="R4" s="68" t="n">
        <x:f>IFERROR(K4/I4,0)</x:f>
        <x:v>0.3888888888888889</x:v>
      </x:c>
      <x:c r="S4" s="60" t="n">
        <x:f>K4*L4</x:f>
        <x:v>85024.98958913877</x:v>
      </x:c>
      <x:c r="T4" s="60" t="n">
        <x:f>S4*H4</x:f>
        <x:v>15584.758106873782</x:v>
      </x:c>
      <x:c r="U4" s="60" t="n">
        <x:f>K4*G4</x:f>
        <x:v>48871.2407756674</x:v>
      </x:c>
      <x:c r="V4" s="60" t="n">
        <x:f>S4-T4-M4-N4-O4-P4-Q4-U4</x:f>
        <x:v>-14167.028249964169</x:v>
      </x:c>
      <x:c r="W4" s="68" t="n">
        <x:f>IFERROR(V4/S4,0)</x:f>
        <x:v>-0.1666219345444517</x:v>
      </x:c>
      <x:c r="X4" s="72" t="n">
        <x:f>IFERROR(S4/Q4,0)</x:f>
        <x:v>3.3512672002659247</x:v>
      </x:c>
      <x:c r="Y4" s="30" t="str">
        <x:v>Моделируемые данные Unitmetra</x:v>
      </x:c>
    </x:row>
    <x:row r="5">
      <x:c r="A5" s="48" t="str">
        <x:v>2025-12</x:v>
      </x:c>
      <x:c r="B5" s="48" t="str">
        <x:v>UM-001</x:v>
      </x:c>
      <x:c r="C5" s="48" t="str">
        <x:v>Миди с поясом</x:v>
      </x:c>
      <x:c r="D5" s="48" t="str">
        <x:v>Платья</x:v>
      </x:c>
      <x:c r="E5" s="56" t="n">
        <x:v>5400</x:v>
      </x:c>
      <x:c r="F5" s="64" t="n">
        <x:v>0.2702205503603283</x:v>
      </x:c>
      <x:c r="G5" s="56" t="n">
        <x:v>2327.2019416984476</x:v>
      </x:c>
      <x:c r="H5" s="64" t="n">
        <x:v>0.18329620717606773</x:v>
      </x:c>
      <x:c r="I5" s="56" t="n">
        <x:v>61</x:v>
      </x:c>
      <x:c r="J5" s="56" t="n">
        <x:v>39</x:v>
      </x:c>
      <x:c r="K5" s="56" t="n">
        <x:v>22</x:v>
      </x:c>
      <x:c r="L5" s="56" t="n">
        <x:v>3940.809028054227</x:v>
      </x:c>
      <x:c r="M5" s="56" t="n">
        <x:v>5103.799254211043</x:v>
      </x:c>
      <x:c r="N5" s="56" t="n">
        <x:v>2359.733877789973</x:v>
      </x:c>
      <x:c r="O5" s="56" t="n">
        <x:v>833.9500618843484</x:v>
      </x:c>
      <x:c r="P5" s="56" t="n">
        <x:v>0</x:v>
      </x:c>
      <x:c r="Q5" s="56" t="n">
        <x:v>24728.931912538505</x:v>
      </x:c>
      <x:c r="R5" s="68" t="n">
        <x:f>IFERROR(K5/I5,0)</x:f>
        <x:v>0.36065573770491804</x:v>
      </x:c>
      <x:c r="S5" s="60" t="n">
        <x:f>K5*L5</x:f>
        <x:v>86697.798617193</x:v>
      </x:c>
      <x:c r="T5" s="60" t="n">
        <x:f>S5*H5</x:f>
        <x:v>15891.377657046005</x:v>
      </x:c>
      <x:c r="U5" s="60" t="n">
        <x:f>K5*G5</x:f>
        <x:v>51198.44271736585</x:v>
      </x:c>
      <x:c r="V5" s="60" t="n">
        <x:f>S5-T5-M5-N5-O5-P5-Q5-U5</x:f>
        <x:v>-13418.436863642724</x:v>
      </x:c>
      <x:c r="W5" s="68" t="n">
        <x:f>IFERROR(V5/S5,0)</x:f>
        <x:v>-0.15477252107508208</x:v>
      </x:c>
      <x:c r="X5" s="72" t="n">
        <x:f>IFERROR(S5/Q5,0)</x:f>
        <x:v>3.50592572796215</x:v>
      </x:c>
      <x:c r="Y5" s="30" t="str">
        <x:v>Моделируемые данные Unitmetra</x:v>
      </x:c>
    </x:row>
    <x:row r="6">
      <x:c r="A6" s="48" t="str">
        <x:v>2026-01</x:v>
      </x:c>
      <x:c r="B6" s="48" t="str">
        <x:v>UM-001</x:v>
      </x:c>
      <x:c r="C6" s="48" t="str">
        <x:v>Миди с поясом</x:v>
      </x:c>
      <x:c r="D6" s="48" t="str">
        <x:v>Платья</x:v>
      </x:c>
      <x:c r="E6" s="56" t="n">
        <x:v>5400</x:v>
      </x:c>
      <x:c r="F6" s="64" t="n">
        <x:v>0.2402205503603284</x:v>
      </x:c>
      <x:c r="G6" s="56" t="n">
        <x:v>2327.2019416984476</x:v>
      </x:c>
      <x:c r="H6" s="64" t="n">
        <x:v>0.18329620717606773</x:v>
      </x:c>
      <x:c r="I6" s="56" t="n">
        <x:v>36</x:v>
      </x:c>
      <x:c r="J6" s="56" t="n">
        <x:v>21</x:v>
      </x:c>
      <x:c r="K6" s="56" t="n">
        <x:v>15</x:v>
      </x:c>
      <x:c r="L6" s="56" t="n">
        <x:v>4102.8090280542265</x:v>
      </x:c>
      <x:c r="M6" s="56" t="n">
        <x:v>4242.275213123657</x:v>
      </x:c>
      <x:c r="N6" s="56" t="n">
        <x:v>1344.8458584842724</x:v>
      </x:c>
      <x:c r="O6" s="56" t="n">
        <x:v>931.040727488086</x:v>
      </x:c>
      <x:c r="P6" s="56" t="n">
        <x:v>0</x:v>
      </x:c>
      <x:c r="Q6" s="56" t="n">
        <x:v>17328.26040105542</x:v>
      </x:c>
      <x:c r="R6" s="68" t="n">
        <x:f>IFERROR(K6/I6,0)</x:f>
        <x:v>0.4166666666666667</x:v>
      </x:c>
      <x:c r="S6" s="60" t="n">
        <x:f>K6*L6</x:f>
        <x:v>61542.1354208134</x:v>
      </x:c>
      <x:c r="T6" s="60" t="n">
        <x:f>S6*H6</x:f>
        <x:v>11280.440004151029</x:v>
      </x:c>
      <x:c r="U6" s="60" t="n">
        <x:f>K6*G6</x:f>
        <x:v>34908.029125476714</x:v>
      </x:c>
      <x:c r="V6" s="60" t="n">
        <x:f>S6-T6-M6-N6-O6-P6-Q6-U6</x:f>
        <x:v>-8492.75590896578</x:v>
      </x:c>
      <x:c r="W6" s="68" t="n">
        <x:f>IFERROR(V6/S6,0)</x:f>
        <x:v>-0.13799904489654014</x:v>
      </x:c>
      <x:c r="X6" s="72" t="n">
        <x:f>IFERROR(S6/Q6,0)</x:f>
        <x:v>3.551547241122082</x:v>
      </x:c>
      <x:c r="Y6" s="30" t="str">
        <x:v>Моделируемые данные Unitmetra</x:v>
      </x:c>
    </x:row>
    <x:row r="7">
      <x:c r="A7" s="48" t="str">
        <x:v>2026-02</x:v>
      </x:c>
      <x:c r="B7" s="48" t="str">
        <x:v>UM-001</x:v>
      </x:c>
      <x:c r="C7" s="48" t="str">
        <x:v>Миди с поясом</x:v>
      </x:c>
      <x:c r="D7" s="48" t="str">
        <x:v>Платья</x:v>
      </x:c>
      <x:c r="E7" s="56" t="n">
        <x:v>5400</x:v>
      </x:c>
      <x:c r="F7" s="64" t="n">
        <x:v>0.2202205503603284</x:v>
      </x:c>
      <x:c r="G7" s="56" t="n">
        <x:v>2327.2019416984476</x:v>
      </x:c>
      <x:c r="H7" s="64" t="n">
        <x:v>0.18329620717606773</x:v>
      </x:c>
      <x:c r="I7" s="56" t="n">
        <x:v>44</x:v>
      </x:c>
      <x:c r="J7" s="56" t="n">
        <x:v>26</x:v>
      </x:c>
      <x:c r="K7" s="56" t="n">
        <x:v>18</x:v>
      </x:c>
      <x:c r="L7" s="56" t="n">
        <x:v>4210.8090280542265</x:v>
      </x:c>
      <x:c r="M7" s="56" t="n">
        <x:v>4231.100527703748</x:v>
      </x:c>
      <x:c r="N7" s="56" t="n">
        <x:v>1799.8516089964423</x:v>
      </x:c>
      <x:c r="O7" s="56" t="n">
        <x:v>399.3713361827631</x:v>
      </x:c>
      <x:c r="P7" s="56" t="n">
        <x:v>0</x:v>
      </x:c>
      <x:c r="Q7" s="56" t="n">
        <x:v>23765.534152967648</x:v>
      </x:c>
      <x:c r="R7" s="68" t="n">
        <x:f>IFERROR(K7/I7,0)</x:f>
        <x:v>0.4090909090909091</x:v>
      </x:c>
      <x:c r="S7" s="60" t="n">
        <x:f>K7*L7</x:f>
        <x:v>75794.56250497607</x:v>
      </x:c>
      <x:c r="T7" s="60" t="n">
        <x:f>S7*H7</x:f>
        <x:v>13892.85583173151</x:v>
      </x:c>
      <x:c r="U7" s="60" t="n">
        <x:f>K7*G7</x:f>
        <x:v>41889.63495057206</x:v>
      </x:c>
      <x:c r="V7" s="60" t="n">
        <x:f>S7-T7-M7-N7-O7-P7-Q7-U7</x:f>
        <x:v>-10183.785903178094</x:v>
      </x:c>
      <x:c r="W7" s="68" t="n">
        <x:f>IFERROR(V7/S7,0)</x:f>
        <x:v>-0.13436037581864144</x:v>
      </x:c>
      <x:c r="X7" s="72" t="n">
        <x:f>IFERROR(S7/Q7,0)</x:f>
        <x:v>3.1892639995853598</x:v>
      </x:c>
      <x:c r="Y7" s="30" t="str">
        <x:v>Моделируемые данные Unitmetra</x:v>
      </x:c>
    </x:row>
    <x:row r="8">
      <x:c r="A8" s="48" t="str">
        <x:v>2025-09</x:v>
      </x:c>
      <x:c r="B8" s="48" t="str">
        <x:v>UM-002</x:v>
      </x:c>
      <x:c r="C8" s="48" t="str">
        <x:v>Трикотажное миди</x:v>
      </x:c>
      <x:c r="D8" s="48" t="str">
        <x:v>Платья</x:v>
      </x:c>
      <x:c r="E8" s="56" t="n">
        <x:v>5400</x:v>
      </x:c>
      <x:c r="F8" s="64" t="n">
        <x:v>0.16049818122808746</x:v>
      </x:c>
      <x:c r="G8" s="56" t="n">
        <x:v>1749.8500877563276</x:v>
      </x:c>
      <x:c r="H8" s="64" t="n">
        <x:v>0.21243677460970106</x:v>
      </x:c>
      <x:c r="I8" s="56" t="n">
        <x:v>25</x:v>
      </x:c>
      <x:c r="J8" s="56" t="n">
        <x:v>12</x:v>
      </x:c>
      <x:c r="K8" s="56" t="n">
        <x:v>13</x:v>
      </x:c>
      <x:c r="L8" s="56" t="n">
        <x:v>4533.309821368328</x:v>
      </x:c>
      <x:c r="M8" s="56" t="n">
        <x:v>2634.6291174182634</x:v>
      </x:c>
      <x:c r="N8" s="56" t="n">
        <x:v>808.2519227708053</x:v>
      </x:c>
      <x:c r="O8" s="56" t="n">
        <x:v>425.2501361111436</x:v>
      </x:c>
      <x:c r="P8" s="56" t="n">
        <x:v>0</x:v>
      </x:c>
      <x:c r="Q8" s="56" t="n">
        <x:v>5119.239698965769</x:v>
      </x:c>
      <x:c r="R8" s="68" t="n">
        <x:f>IFERROR(K8/I8,0)</x:f>
        <x:v>0.52</x:v>
      </x:c>
      <x:c r="S8" s="60" t="n">
        <x:f>K8*L8</x:f>
        <x:v>58933.02767778826</x:v>
      </x:c>
      <x:c r="T8" s="60" t="n">
        <x:f>S8*H8</x:f>
        <x:v>12519.542317853578</x:v>
      </x:c>
      <x:c r="U8" s="60" t="n">
        <x:f>K8*G8</x:f>
        <x:v>22748.05114083226</x:v>
      </x:c>
      <x:c r="V8" s="60" t="n">
        <x:f>S8-T8-M8-N8-O8-P8-Q8-U8</x:f>
        <x:v>14678.063343836442</x:v>
      </x:c>
      <x:c r="W8" s="68" t="n">
        <x:f>IFERROR(V8/S8,0)</x:f>
        <x:v>0.24906345257005308</x:v>
      </x:c>
      <x:c r="X8" s="72" t="n">
        <x:f>IFERROR(S8/Q8,0)</x:f>
        <x:v>11.512066467544857</x:v>
      </x:c>
      <x:c r="Y8" s="30" t="str">
        <x:v>Моделируемые данные Unitmetra</x:v>
      </x:c>
    </x:row>
    <x:row r="9">
      <x:c r="A9" s="48" t="str">
        <x:v>2025-10</x:v>
      </x:c>
      <x:c r="B9" s="48" t="str">
        <x:v>UM-002</x:v>
      </x:c>
      <x:c r="C9" s="48" t="str">
        <x:v>Трикотажное миди</x:v>
      </x:c>
      <x:c r="D9" s="48" t="str">
        <x:v>Платья</x:v>
      </x:c>
      <x:c r="E9" s="56" t="n">
        <x:v>5400</x:v>
      </x:c>
      <x:c r="F9" s="64" t="n">
        <x:v>0.17049818122808746</x:v>
      </x:c>
      <x:c r="G9" s="56" t="n">
        <x:v>1749.8500877563276</x:v>
      </x:c>
      <x:c r="H9" s="64" t="n">
        <x:v>0.21243677460970106</x:v>
      </x:c>
      <x:c r="I9" s="56" t="n">
        <x:v>30</x:v>
      </x:c>
      <x:c r="J9" s="56" t="n">
        <x:v>14</x:v>
      </x:c>
      <x:c r="K9" s="56" t="n">
        <x:v>16</x:v>
      </x:c>
      <x:c r="L9" s="56" t="n">
        <x:v>4479.309821368328</x:v>
      </x:c>
      <x:c r="M9" s="56" t="n">
        <x:v>2968.9592101082044</x:v>
      </x:c>
      <x:c r="N9" s="56" t="n">
        <x:v>864.7490046457687</x:v>
      </x:c>
      <x:c r="O9" s="56" t="n">
        <x:v>647.6334871905295</x:v>
      </x:c>
      <x:c r="P9" s="56" t="n">
        <x:v>0</x:v>
      </x:c>
      <x:c r="Q9" s="56" t="n">
        <x:v>6142.52247650216</x:v>
      </x:c>
      <x:c r="R9" s="68" t="n">
        <x:f>IFERROR(K9/I9,0)</x:f>
        <x:v>0.5333333333333333</x:v>
      </x:c>
      <x:c r="S9" s="60" t="n">
        <x:f>K9*L9</x:f>
        <x:v>71668.95714189325</x:v>
      </x:c>
      <x:c r="T9" s="60" t="n">
        <x:f>S9*H9</x:f>
        <x:v>15225.1220948647</x:v>
      </x:c>
      <x:c r="U9" s="60" t="n">
        <x:f>K9*G9</x:f>
        <x:v>27997.601404101242</x:v>
      </x:c>
      <x:c r="V9" s="60" t="n">
        <x:f>S9-T9-M9-N9-O9-P9-Q9-U9</x:f>
        <x:v>17822.369464480642</x:v>
      </x:c>
      <x:c r="W9" s="68" t="n">
        <x:f>IFERROR(V9/S9,0)</x:f>
        <x:v>0.24867627736224984</x:v>
      </x:c>
      <x:c r="X9" s="72" t="n">
        <x:f>IFERROR(S9/Q9,0)</x:f>
        <x:v>11.667675196315262</x:v>
      </x:c>
      <x:c r="Y9" s="30" t="str">
        <x:v>Моделируемые данные Unitmetra</x:v>
      </x:c>
    </x:row>
    <x:row r="10">
      <x:c r="A10" s="48" t="str">
        <x:v>2025-11</x:v>
      </x:c>
      <x:c r="B10" s="48" t="str">
        <x:v>UM-002</x:v>
      </x:c>
      <x:c r="C10" s="48" t="str">
        <x:v>Трикотажное миди</x:v>
      </x:c>
      <x:c r="D10" s="48" t="str">
        <x:v>Платья</x:v>
      </x:c>
      <x:c r="E10" s="56" t="n">
        <x:v>5400</x:v>
      </x:c>
      <x:c r="F10" s="64" t="n">
        <x:v>0.20049818122808727</x:v>
      </x:c>
      <x:c r="G10" s="56" t="n">
        <x:v>1749.8500877563276</x:v>
      </x:c>
      <x:c r="H10" s="64" t="n">
        <x:v>0.21243677460970106</x:v>
      </x:c>
      <x:c r="I10" s="56" t="n">
        <x:v>42</x:v>
      </x:c>
      <x:c r="J10" s="56" t="n">
        <x:v>20</x:v>
      </x:c>
      <x:c r="K10" s="56" t="n">
        <x:v>22</x:v>
      </x:c>
      <x:c r="L10" s="56" t="n">
        <x:v>4317.309821368329</x:v>
      </x:c>
      <x:c r="M10" s="56" t="n">
        <x:v>4682.886132936403</x:v>
      </x:c>
      <x:c r="N10" s="56" t="n">
        <x:v>1429.4866301598076</x:v>
      </x:c>
      <x:c r="O10" s="56" t="n">
        <x:v>525.5306952981205</x:v>
      </x:c>
      <x:c r="P10" s="56" t="n">
        <x:v>0</x:v>
      </x:c>
      <x:c r="Q10" s="56" t="n">
        <x:v>7986.7708691458665</x:v>
      </x:c>
      <x:c r="R10" s="68" t="n">
        <x:f>IFERROR(K10/I10,0)</x:f>
        <x:v>0.5238095238095238</x:v>
      </x:c>
      <x:c r="S10" s="60" t="n">
        <x:f>K10*L10</x:f>
        <x:v>94980.81607010323</x:v>
      </x:c>
      <x:c r="T10" s="60" t="n">
        <x:f>S10*H10</x:f>
        <x:v>20177.418215729995</x:v>
      </x:c>
      <x:c r="U10" s="60" t="n">
        <x:f>K10*G10</x:f>
        <x:v>38496.70193063921</x:v>
      </x:c>
      <x:c r="V10" s="60" t="n">
        <x:f>S10-T10-M10-N10-O10-P10-Q10-U10</x:f>
        <x:v>21682.02159619383</x:v>
      </x:c>
      <x:c r="W10" s="68" t="n">
        <x:f>IFERROR(V10/S10,0)</x:f>
        <x:v>0.2282779038262928</x:v>
      </x:c>
      <x:c r="X10" s="72" t="n">
        <x:f>IFERROR(S10/Q10,0)</x:f>
        <x:v>11.892267554216291</x:v>
      </x:c>
      <x:c r="Y10" s="30" t="str">
        <x:v>Моделируемые данные Unitmetra</x:v>
      </x:c>
    </x:row>
    <x:row r="11">
      <x:c r="A11" s="48" t="str">
        <x:v>2025-12</x:v>
      </x:c>
      <x:c r="B11" s="48" t="str">
        <x:v>UM-002</x:v>
      </x:c>
      <x:c r="C11" s="48" t="str">
        <x:v>Трикотажное миди</x:v>
      </x:c>
      <x:c r="D11" s="48" t="str">
        <x:v>Платья</x:v>
      </x:c>
      <x:c r="E11" s="56" t="n">
        <x:v>5400</x:v>
      </x:c>
      <x:c r="F11" s="64" t="n">
        <x:v>0.2204981812280873</x:v>
      </x:c>
      <x:c r="G11" s="56" t="n">
        <x:v>1749.8500877563276</x:v>
      </x:c>
      <x:c r="H11" s="64" t="n">
        <x:v>0.21243677460970106</x:v>
      </x:c>
      <x:c r="I11" s="56" t="n">
        <x:v>59</x:v>
      </x:c>
      <x:c r="J11" s="56" t="n">
        <x:v>29</x:v>
      </x:c>
      <x:c r="K11" s="56" t="n">
        <x:v>30</x:v>
      </x:c>
      <x:c r="L11" s="56" t="n">
        <x:v>4209.309821368329</x:v>
      </x:c>
      <x:c r="M11" s="56" t="n">
        <x:v>6893.694985616653</x:v>
      </x:c>
      <x:c r="N11" s="56" t="n">
        <x:v>2033.1606449092963</x:v>
      </x:c>
      <x:c r="O11" s="56" t="n">
        <x:v>574.1050587208352</x:v>
      </x:c>
      <x:c r="P11" s="56" t="n">
        <x:v>0</x:v>
      </x:c>
      <x:c r="Q11" s="56" t="n">
        <x:v>11722.763087383475</x:v>
      </x:c>
      <x:c r="R11" s="68" t="n">
        <x:f>IFERROR(K11/I11,0)</x:f>
        <x:v>0.5084745762711864</x:v>
      </x:c>
      <x:c r="S11" s="60" t="n">
        <x:f>K11*L11</x:f>
        <x:v>126279.29464104987</x:v>
      </x:c>
      <x:c r="T11" s="60" t="n">
        <x:f>S11*H11</x:f>
        <x:v>26826.366053532744</x:v>
      </x:c>
      <x:c r="U11" s="60" t="n">
        <x:f>K11*G11</x:f>
        <x:v>52495.50263268983</x:v>
      </x:c>
      <x:c r="V11" s="60" t="n">
        <x:f>S11-T11-M11-N11-O11-P11-Q11-U11</x:f>
        <x:v>25733.702178197047</x:v>
      </x:c>
      <x:c r="W11" s="68" t="n">
        <x:f>IFERROR(V11/S11,0)</x:f>
        <x:v>0.20378401899808948</x:v>
      </x:c>
      <x:c r="X11" s="72" t="n">
        <x:f>IFERROR(S11/Q11,0)</x:f>
        <x:v>10.772144220585409</x:v>
      </x:c>
      <x:c r="Y11" s="30" t="str">
        <x:v>Моделируемые данные Unitmetra</x:v>
      </x:c>
    </x:row>
    <x:row r="12">
      <x:c r="A12" s="48" t="str">
        <x:v>2026-01</x:v>
      </x:c>
      <x:c r="B12" s="48" t="str">
        <x:v>UM-002</x:v>
      </x:c>
      <x:c r="C12" s="48" t="str">
        <x:v>Трикотажное миди</x:v>
      </x:c>
      <x:c r="D12" s="48" t="str">
        <x:v>Платья</x:v>
      </x:c>
      <x:c r="E12" s="56" t="n">
        <x:v>5400</x:v>
      </x:c>
      <x:c r="F12" s="64" t="n">
        <x:v>0.19049818122808737</x:v>
      </x:c>
      <x:c r="G12" s="56" t="n">
        <x:v>1749.8500877563276</x:v>
      </x:c>
      <x:c r="H12" s="64" t="n">
        <x:v>0.21243677460970106</x:v>
      </x:c>
      <x:c r="I12" s="56" t="n">
        <x:v>27</x:v>
      </x:c>
      <x:c r="J12" s="56" t="n">
        <x:v>13</x:v>
      </x:c>
      <x:c r="K12" s="56" t="n">
        <x:v>14</x:v>
      </x:c>
      <x:c r="L12" s="56" t="n">
        <x:v>4371.309821368328</x:v>
      </x:c>
      <x:c r="M12" s="56" t="n">
        <x:v>2220.013350259428</x:v>
      </x:c>
      <x:c r="N12" s="56" t="n">
        <x:v>824.4384600921258</x:v>
      </x:c>
      <x:c r="O12" s="56" t="n">
        <x:v>323.36247793817853</x:v>
      </x:c>
      <x:c r="P12" s="56" t="n">
        <x:v>0</x:v>
      </x:c>
      <x:c r="Q12" s="56" t="n">
        <x:v>6025.061209499778</x:v>
      </x:c>
      <x:c r="R12" s="68" t="n">
        <x:f>IFERROR(K12/I12,0)</x:f>
        <x:v>0.5185185185185185</x:v>
      </x:c>
      <x:c r="S12" s="60" t="n">
        <x:f>K12*L12</x:f>
        <x:v>61198.337499156594</x:v>
      </x:c>
      <x:c r="T12" s="60" t="n">
        <x:f>S12*H12</x:f>
        <x:v>13000.777429796746</x:v>
      </x:c>
      <x:c r="U12" s="60" t="n">
        <x:f>K12*G12</x:f>
        <x:v>24497.901228588587</x:v>
      </x:c>
      <x:c r="V12" s="60" t="n">
        <x:f>S12-T12-M12-N12-O12-P12-Q12-U12</x:f>
        <x:v>14306.783342981751</x:v>
      </x:c>
      <x:c r="W12" s="68" t="n">
        <x:f>IFERROR(V12/S12,0)</x:f>
        <x:v>0.23377732022833006</x:v>
      </x:c>
      <x:c r="X12" s="72" t="n">
        <x:f>IFERROR(S12/Q12,0)</x:f>
        <x:v>10.157297224244715</x:v>
      </x:c>
      <x:c r="Y12" s="30" t="str">
        <x:v>Моделируемые данные Unitmetra</x:v>
      </x:c>
    </x:row>
    <x:row r="13">
      <x:c r="A13" s="48" t="str">
        <x:v>2026-02</x:v>
      </x:c>
      <x:c r="B13" s="48" t="str">
        <x:v>UM-002</x:v>
      </x:c>
      <x:c r="C13" s="48" t="str">
        <x:v>Трикотажное миди</x:v>
      </x:c>
      <x:c r="D13" s="48" t="str">
        <x:v>Платья</x:v>
      </x:c>
      <x:c r="E13" s="56" t="n">
        <x:v>5400</x:v>
      </x:c>
      <x:c r="F13" s="64" t="n">
        <x:v>0.17049818122808746</x:v>
      </x:c>
      <x:c r="G13" s="56" t="n">
        <x:v>1749.8500877563276</x:v>
      </x:c>
      <x:c r="H13" s="64" t="n">
        <x:v>0.21243677460970106</x:v>
      </x:c>
      <x:c r="I13" s="56" t="n">
        <x:v>31</x:v>
      </x:c>
      <x:c r="J13" s="56" t="n">
        <x:v>13</x:v>
      </x:c>
      <x:c r="K13" s="56" t="n">
        <x:v>18</x:v>
      </x:c>
      <x:c r="L13" s="56" t="n">
        <x:v>4479.309821368328</x:v>
      </x:c>
      <x:c r="M13" s="56" t="n">
        <x:v>3542.1195492324523</x:v>
      </x:c>
      <x:c r="N13" s="56" t="n">
        <x:v>860.1820135447038</x:v>
      </x:c>
      <x:c r="O13" s="56" t="n">
        <x:v>408.1124611234241</x:v>
      </x:c>
      <x:c r="P13" s="56" t="n">
        <x:v>0</x:v>
      </x:c>
      <x:c r="Q13" s="56" t="n">
        <x:v>8258.06682710806</x:v>
      </x:c>
      <x:c r="R13" s="68" t="n">
        <x:f>IFERROR(K13/I13,0)</x:f>
        <x:v>0.5806451612903226</x:v>
      </x:c>
      <x:c r="S13" s="60" t="n">
        <x:f>K13*L13</x:f>
        <x:v>80627.5767846299</x:v>
      </x:c>
      <x:c r="T13" s="60" t="n">
        <x:f>S13*H13</x:f>
        <x:v>17128.26235672279</x:v>
      </x:c>
      <x:c r="U13" s="60" t="n">
        <x:f>K13*G13</x:f>
        <x:v>31497.301579613897</x:v>
      </x:c>
      <x:c r="V13" s="60" t="n">
        <x:f>S13-T13-M13-N13-O13-P13-Q13-U13</x:f>
        <x:v>18933.531997284572</x:v>
      </x:c>
      <x:c r="W13" s="68" t="n">
        <x:f>IFERROR(V13/S13,0)</x:f>
        <x:v>0.2348270002936996</x:v>
      </x:c>
      <x:c r="X13" s="72" t="n">
        <x:f>IFERROR(S13/Q13,0)</x:f>
        <x:v>9.76349289399797</x:v>
      </x:c>
      <x:c r="Y13" s="30" t="str">
        <x:v>Моделируемые данные Unitmetra</x:v>
      </x:c>
    </x:row>
    <x:row r="14">
      <x:c r="A14" s="48" t="str">
        <x:v>2025-09</x:v>
      </x:c>
      <x:c r="B14" s="48" t="str">
        <x:v>UM-003</x:v>
      </x:c>
      <x:c r="C14" s="48" t="str">
        <x:v>Платье-комбинация</x:v>
      </x:c>
      <x:c r="D14" s="48" t="str">
        <x:v>Платья</x:v>
      </x:c>
      <x:c r="E14" s="56" t="n">
        <x:v>4100</x:v>
      </x:c>
      <x:c r="F14" s="64" t="n">
        <x:v>0.1763581954855643</x:v>
      </x:c>
      <x:c r="G14" s="56" t="n">
        <x:v>1379.8557152117908</x:v>
      </x:c>
      <x:c r="H14" s="64" t="n">
        <x:v>0.20896709101974037</x:v>
      </x:c>
      <x:c r="I14" s="56" t="n">
        <x:v>17</x:v>
      </x:c>
      <x:c r="J14" s="56" t="n">
        <x:v>9</x:v>
      </x:c>
      <x:c r="K14" s="56" t="n">
        <x:v>8</x:v>
      </x:c>
      <x:c r="L14" s="56" t="n">
        <x:v>3376.9313985091862</x:v>
      </x:c>
      <x:c r="M14" s="56" t="n">
        <x:v>1885.0313261211184</x:v>
      </x:c>
      <x:c r="N14" s="56" t="n">
        <x:v>578.959607678607</x:v>
      </x:c>
      <x:c r="O14" s="56" t="n">
        <x:v>388.67879148656016</x:v>
      </x:c>
      <x:c r="P14" s="56" t="n">
        <x:v>0</x:v>
      </x:c>
      <x:c r="Q14" s="56" t="n">
        <x:v>2557.579409061159</x:v>
      </x:c>
      <x:c r="R14" s="68" t="n">
        <x:f>IFERROR(K14/I14,0)</x:f>
        <x:v>0.47058823529411764</x:v>
      </x:c>
      <x:c r="S14" s="60" t="n">
        <x:f>K14*L14</x:f>
        <x:v>27015.45118807349</x:v>
      </x:c>
      <x:c r="T14" s="60" t="n">
        <x:f>S14*H14</x:f>
        <x:v>5645.340247357506</x:v>
      </x:c>
      <x:c r="U14" s="60" t="n">
        <x:f>K14*G14</x:f>
        <x:v>11038.845721694326</x:v>
      </x:c>
      <x:c r="V14" s="60" t="n">
        <x:f>S14-T14-M14-N14-O14-P14-Q14-U14</x:f>
        <x:v>4921.016084674209</x:v>
      </x:c>
      <x:c r="W14" s="68" t="n">
        <x:f>IFERROR(V14/S14,0)</x:f>
        <x:v>0.18215561348265358</x:v>
      </x:c>
      <x:c r="X14" s="72" t="n">
        <x:f>IFERROR(S14/Q14,0)</x:f>
        <x:v>10.562898298430692</x:v>
      </x:c>
      <x:c r="Y14" s="30" t="str">
        <x:v>Моделируемые данные Unitmetra</x:v>
      </x:c>
    </x:row>
    <x:row r="15">
      <x:c r="A15" s="48" t="str">
        <x:v>2025-10</x:v>
      </x:c>
      <x:c r="B15" s="48" t="str">
        <x:v>UM-003</x:v>
      </x:c>
      <x:c r="C15" s="48" t="str">
        <x:v>Платье-комбинация</x:v>
      </x:c>
      <x:c r="D15" s="48" t="str">
        <x:v>Платья</x:v>
      </x:c>
      <x:c r="E15" s="56" t="n">
        <x:v>4100</x:v>
      </x:c>
      <x:c r="F15" s="64" t="n">
        <x:v>0.18635819548556432</x:v>
      </x:c>
      <x:c r="G15" s="56" t="n">
        <x:v>1379.8557152117908</x:v>
      </x:c>
      <x:c r="H15" s="64" t="n">
        <x:v>0.20896709101974037</x:v>
      </x:c>
      <x:c r="I15" s="56" t="n">
        <x:v>21</x:v>
      </x:c>
      <x:c r="J15" s="56" t="n">
        <x:v>10</x:v>
      </x:c>
      <x:c r="K15" s="56" t="n">
        <x:v>11</x:v>
      </x:c>
      <x:c r="L15" s="56" t="n">
        <x:v>3335.9313985091862</x:v>
      </x:c>
      <x:c r="M15" s="56" t="n">
        <x:v>2121.0741744924994</x:v>
      </x:c>
      <x:c r="N15" s="56" t="n">
        <x:v>599.1253912774888</x:v>
      </x:c>
      <x:c r="O15" s="56" t="n">
        <x:v>642.5421991160849</x:v>
      </x:c>
      <x:c r="P15" s="56" t="n">
        <x:v>0</x:v>
      </x:c>
      <x:c r="Q15" s="56" t="n">
        <x:v>3093.039072640444</x:v>
      </x:c>
      <x:c r="R15" s="68" t="n">
        <x:f>IFERROR(K15/I15,0)</x:f>
        <x:v>0.5238095238095238</x:v>
      </x:c>
      <x:c r="S15" s="60" t="n">
        <x:f>K15*L15</x:f>
        <x:v>36695.245383601046</x:v>
      </x:c>
      <x:c r="T15" s="60" t="n">
        <x:f>S15*H15</x:f>
        <x:v>7668.098682066668</x:v>
      </x:c>
      <x:c r="U15" s="60" t="n">
        <x:f>K15*G15</x:f>
        <x:v>15178.412867329698</x:v>
      </x:c>
      <x:c r="V15" s="60" t="n">
        <x:f>S15-T15-M15-N15-O15-P15-Q15-U15</x:f>
        <x:v>7392.9529966781665</x:v>
      </x:c>
      <x:c r="W15" s="68" t="n">
        <x:f>IFERROR(V15/S15,0)</x:f>
        <x:v>0.2014689619702624</x:v>
      </x:c>
      <x:c r="X15" s="72" t="n">
        <x:f>IFERROR(S15/Q15,0)</x:f>
        <x:v>11.863815658906406</x:v>
      </x:c>
      <x:c r="Y15" s="30" t="str">
        <x:v>Моделируемые данные Unitmetra</x:v>
      </x:c>
    </x:row>
    <x:row r="16">
      <x:c r="A16" s="48" t="str">
        <x:v>2025-11</x:v>
      </x:c>
      <x:c r="B16" s="48" t="str">
        <x:v>UM-003</x:v>
      </x:c>
      <x:c r="C16" s="48" t="str">
        <x:v>Платье-комбинация</x:v>
      </x:c>
      <x:c r="D16" s="48" t="str">
        <x:v>Платья</x:v>
      </x:c>
      <x:c r="E16" s="56" t="n">
        <x:v>4100</x:v>
      </x:c>
      <x:c r="F16" s="64" t="n">
        <x:v>0.21635819548556423</x:v>
      </x:c>
      <x:c r="G16" s="56" t="n">
        <x:v>1379.8557152117908</x:v>
      </x:c>
      <x:c r="H16" s="64" t="n">
        <x:v>0.20896709101974037</x:v>
      </x:c>
      <x:c r="I16" s="56" t="n">
        <x:v>26</x:v>
      </x:c>
      <x:c r="J16" s="56" t="n">
        <x:v>13</x:v>
      </x:c>
      <x:c r="K16" s="56" t="n">
        <x:v>13</x:v>
      </x:c>
      <x:c r="L16" s="56" t="n">
        <x:v>3212.9313985091867</x:v>
      </x:c>
      <x:c r="M16" s="56" t="n">
        <x:v>2227.259724111526</x:v>
      </x:c>
      <x:c r="N16" s="56" t="n">
        <x:v>889.8157891691968</x:v>
      </x:c>
      <x:c r="O16" s="56" t="n">
        <x:v>271.73163796921637</x:v>
      </x:c>
      <x:c r="P16" s="56" t="n">
        <x:v>0</x:v>
      </x:c>
      <x:c r="Q16" s="56" t="n">
        <x:v>3613.0433970322038</x:v>
      </x:c>
      <x:c r="R16" s="68" t="n">
        <x:f>IFERROR(K16/I16,0)</x:f>
        <x:v>0.5</x:v>
      </x:c>
      <x:c r="S16" s="60" t="n">
        <x:f>K16*L16</x:f>
        <x:v>41768.10818061943</x:v>
      </x:c>
      <x:c r="T16" s="60" t="n">
        <x:f>S16*H16</x:f>
        <x:v>8728.160063901862</x:v>
      </x:c>
      <x:c r="U16" s="60" t="n">
        <x:f>K16*G16</x:f>
        <x:v>17938.12429775328</x:v>
      </x:c>
      <x:c r="V16" s="60" t="n">
        <x:f>S16-T16-M16-N16-O16-P16-Q16-U16</x:f>
        <x:v>8099.973270682149</x:v>
      </x:c>
      <x:c r="W16" s="68" t="n">
        <x:f>IFERROR(V16/S16,0)</x:f>
        <x:v>0.19392722398762052</x:v>
      </x:c>
      <x:c r="X16" s="72" t="n">
        <x:f>IFERROR(S16/Q16,0)</x:f>
        <x:v>11.56036714503021</x:v>
      </x:c>
      <x:c r="Y16" s="30" t="str">
        <x:v>Моделируемые данные Unitmetra</x:v>
      </x:c>
    </x:row>
    <x:row r="17">
      <x:c r="A17" s="48" t="str">
        <x:v>2025-12</x:v>
      </x:c>
      <x:c r="B17" s="48" t="str">
        <x:v>UM-003</x:v>
      </x:c>
      <x:c r="C17" s="48" t="str">
        <x:v>Платье-комбинация</x:v>
      </x:c>
      <x:c r="D17" s="48" t="str">
        <x:v>Платья</x:v>
      </x:c>
      <x:c r="E17" s="56" t="n">
        <x:v>4100</x:v>
      </x:c>
      <x:c r="F17" s="64" t="n">
        <x:v>0.23635819548556425</x:v>
      </x:c>
      <x:c r="G17" s="56" t="n">
        <x:v>1379.8557152117908</x:v>
      </x:c>
      <x:c r="H17" s="64" t="n">
        <x:v>0.20896709101974037</x:v>
      </x:c>
      <x:c r="I17" s="56" t="n">
        <x:v>41</x:v>
      </x:c>
      <x:c r="J17" s="56" t="n">
        <x:v>20</x:v>
      </x:c>
      <x:c r="K17" s="56" t="n">
        <x:v>21</x:v>
      </x:c>
      <x:c r="L17" s="56" t="n">
        <x:v>3130.9313985091867</x:v>
      </x:c>
      <x:c r="M17" s="56" t="n">
        <x:v>3576.7197096586237</x:v>
      </x:c>
      <x:c r="N17" s="56" t="n">
        <x:v>1644.262173293729</x:v>
      </x:c>
      <x:c r="O17" s="56" t="n">
        <x:v>231.48779938030813</x:v>
      </x:c>
      <x:c r="P17" s="56" t="n">
        <x:v>0</x:v>
      </x:c>
      <x:c r="Q17" s="56" t="n">
        <x:v>6217.033085477051</x:v>
      </x:c>
      <x:c r="R17" s="68" t="n">
        <x:f>IFERROR(K17/I17,0)</x:f>
        <x:v>0.5121951219512195</x:v>
      </x:c>
      <x:c r="S17" s="60" t="n">
        <x:f>K17*L17</x:f>
        <x:v>65749.55936869292</x:v>
      </x:c>
      <x:c r="T17" s="60" t="n">
        <x:f>S17*H17</x:f>
        <x:v>13739.494157105477</x:v>
      </x:c>
      <x:c r="U17" s="60" t="n">
        <x:f>K17*G17</x:f>
        <x:v>28976.970019447606</x:v>
      </x:c>
      <x:c r="V17" s="60" t="n">
        <x:f>S17-T17-M17-N17-O17-P17-Q17-U17</x:f>
        <x:v>11363.592424330123</x:v>
      </x:c>
      <x:c r="W17" s="68" t="n">
        <x:f>IFERROR(V17/S17,0)</x:f>
        <x:v>0.17283146128186788</x:v>
      </x:c>
      <x:c r="X17" s="72" t="n">
        <x:f>IFERROR(S17/Q17,0)</x:f>
        <x:v>10.57571328070997</x:v>
      </x:c>
      <x:c r="Y17" s="30" t="str">
        <x:v>Моделируемые данные Unitmetra</x:v>
      </x:c>
    </x:row>
    <x:row r="18">
      <x:c r="A18" s="48" t="str">
        <x:v>2026-01</x:v>
      </x:c>
      <x:c r="B18" s="48" t="str">
        <x:v>UM-003</x:v>
      </x:c>
      <x:c r="C18" s="48" t="str">
        <x:v>Платье-комбинация</x:v>
      </x:c>
      <x:c r="D18" s="48" t="str">
        <x:v>Платья</x:v>
      </x:c>
      <x:c r="E18" s="56" t="n">
        <x:v>4100</x:v>
      </x:c>
      <x:c r="F18" s="64" t="n">
        <x:v>0.20635819548556433</x:v>
      </x:c>
      <x:c r="G18" s="56" t="n">
        <x:v>1379.8557152117908</x:v>
      </x:c>
      <x:c r="H18" s="64" t="n">
        <x:v>0.20896709101974037</x:v>
      </x:c>
      <x:c r="I18" s="56" t="n">
        <x:v>19</x:v>
      </x:c>
      <x:c r="J18" s="56" t="n">
        <x:v>8</x:v>
      </x:c>
      <x:c r="K18" s="56" t="n">
        <x:v>11</x:v>
      </x:c>
      <x:c r="L18" s="56" t="n">
        <x:v>3253.9313985091862</x:v>
      </x:c>
      <x:c r="M18" s="56" t="n">
        <x:v>1583.9276542632304</x:v>
      </x:c>
      <x:c r="N18" s="56" t="n">
        <x:v>498.48018897337124</x:v>
      </x:c>
      <x:c r="O18" s="56" t="n">
        <x:v>450.2154932520866</x:v>
      </x:c>
      <x:c r="P18" s="56" t="n">
        <x:v>0</x:v>
      </x:c>
      <x:c r="Q18" s="56" t="n">
        <x:v>2972.6003661580276</x:v>
      </x:c>
      <x:c r="R18" s="68" t="n">
        <x:f>IFERROR(K18/I18,0)</x:f>
        <x:v>0.5789473684210527</x:v>
      </x:c>
      <x:c r="S18" s="60" t="n">
        <x:f>K18*L18</x:f>
        <x:v>35793.245383601046</x:v>
      </x:c>
      <x:c r="T18" s="60" t="n">
        <x:f>S18*H18</x:f>
        <x:v>7479.6103659668615</x:v>
      </x:c>
      <x:c r="U18" s="60" t="n">
        <x:f>K18*G18</x:f>
        <x:v>15178.412867329698</x:v>
      </x:c>
      <x:c r="V18" s="60" t="n">
        <x:f>S18-T18-M18-N18-O18-P18-Q18-U18</x:f>
        <x:v>7629.99844765777</x:v>
      </x:c>
      <x:c r="W18" s="68" t="n">
        <x:f>IFERROR(V18/S18,0)</x:f>
        <x:v>0.2131686681631142</x:v>
      </x:c>
      <x:c r="X18" s="72" t="n">
        <x:f>IFERROR(S18/Q18,0)</x:f>
        <x:v>12.041055296599605</x:v>
      </x:c>
      <x:c r="Y18" s="30" t="str">
        <x:v>Моделируемые данные Unitmetra</x:v>
      </x:c>
    </x:row>
    <x:row r="19">
      <x:c r="A19" s="48" t="str">
        <x:v>2026-02</x:v>
      </x:c>
      <x:c r="B19" s="48" t="str">
        <x:v>UM-003</x:v>
      </x:c>
      <x:c r="C19" s="48" t="str">
        <x:v>Платье-комбинация</x:v>
      </x:c>
      <x:c r="D19" s="48" t="str">
        <x:v>Платья</x:v>
      </x:c>
      <x:c r="E19" s="56" t="n">
        <x:v>4100</x:v>
      </x:c>
      <x:c r="F19" s="64" t="n">
        <x:v>0.18635819548556432</x:v>
      </x:c>
      <x:c r="G19" s="56" t="n">
        <x:v>1379.8557152117908</x:v>
      </x:c>
      <x:c r="H19" s="64" t="n">
        <x:v>0.20896709101974037</x:v>
      </x:c>
      <x:c r="I19" s="56" t="n">
        <x:v>21</x:v>
      </x:c>
      <x:c r="J19" s="56" t="n">
        <x:v>10</x:v>
      </x:c>
      <x:c r="K19" s="56" t="n">
        <x:v>11</x:v>
      </x:c>
      <x:c r="L19" s="56" t="n">
        <x:v>3335.9313985091862</x:v>
      </x:c>
      <x:c r="M19" s="56" t="n">
        <x:v>1987.9510433433945</x:v>
      </x:c>
      <x:c r="N19" s="56" t="n">
        <x:v>711.8582305785036</x:v>
      </x:c>
      <x:c r="O19" s="56" t="n">
        <x:v>463.17488218420726</x:v>
      </x:c>
      <x:c r="P19" s="56" t="n">
        <x:v>0</x:v>
      </x:c>
      <x:c r="Q19" s="56" t="n">
        <x:v>3539.2291944619055</x:v>
      </x:c>
      <x:c r="R19" s="68" t="n">
        <x:f>IFERROR(K19/I19,0)</x:f>
        <x:v>0.5238095238095238</x:v>
      </x:c>
      <x:c r="S19" s="60" t="n">
        <x:f>K19*L19</x:f>
        <x:v>36695.245383601046</x:v>
      </x:c>
      <x:c r="T19" s="60" t="n">
        <x:f>S19*H19</x:f>
        <x:v>7668.098682066668</x:v>
      </x:c>
      <x:c r="U19" s="60" t="n">
        <x:f>K19*G19</x:f>
        <x:v>15178.412867329698</x:v>
      </x:c>
      <x:c r="V19" s="60" t="n">
        <x:f>S19-T19-M19-N19-O19-P19-Q19-U19</x:f>
        <x:v>7146.520483636672</x:v>
      </x:c>
      <x:c r="W19" s="68" t="n">
        <x:f>IFERROR(V19/S19,0)</x:f>
        <x:v>0.19475330956174564</x:v>
      </x:c>
      <x:c r="X19" s="72" t="n">
        <x:f>IFERROR(S19/Q19,0)</x:f>
        <x:v>10.368146103965467</x:v>
      </x:c>
      <x:c r="Y19" s="30" t="str">
        <x:v>Моделируемые данные Unitmetra</x:v>
      </x:c>
    </x:row>
    <x:row r="20">
      <x:c r="A20" s="48" t="str">
        <x:v>2025-09</x:v>
      </x:c>
      <x:c r="B20" s="48" t="str">
        <x:v>UM-004</x:v>
      </x:c>
      <x:c r="C20" s="48" t="str">
        <x:v>Офисное футляр</x:v>
      </x:c>
      <x:c r="D20" s="48" t="str">
        <x:v>Платья</x:v>
      </x:c>
      <x:c r="E20" s="56" t="n">
        <x:v>3800</x:v>
      </x:c>
      <x:c r="F20" s="64" t="n">
        <x:v>0.29531168390318463</x:v>
      </x:c>
      <x:c r="G20" s="56" t="n">
        <x:v>1433.2632313229221</x:v>
      </x:c>
      <x:c r="H20" s="64" t="n">
        <x:v>0.18681235477481886</x:v>
      </x:c>
      <x:c r="I20" s="56" t="n">
        <x:v>44</x:v>
      </x:c>
      <x:c r="J20" s="56" t="n">
        <x:v>21</x:v>
      </x:c>
      <x:c r="K20" s="56" t="n">
        <x:v>23</x:v>
      </x:c>
      <x:c r="L20" s="56" t="n">
        <x:v>2677.8156011678984</x:v>
      </x:c>
      <x:c r="M20" s="56" t="n">
        <x:v>5120.811949213576</x:v>
      </x:c>
      <x:c r="N20" s="56" t="n">
        <x:v>1524.8880825382978</x:v>
      </x:c>
      <x:c r="O20" s="56" t="n">
        <x:v>648.5466915273491</x:v>
      </x:c>
      <x:c r="P20" s="56" t="n">
        <x:v>0</x:v>
      </x:c>
      <x:c r="Q20" s="56" t="n">
        <x:v>2361.21966909965</x:v>
      </x:c>
      <x:c r="R20" s="68" t="n">
        <x:f>IFERROR(K20/I20,0)</x:f>
        <x:v>0.5227272727272727</x:v>
      </x:c>
      <x:c r="S20" s="60" t="n">
        <x:f>K20*L20</x:f>
        <x:v>61589.75882686167</x:v>
      </x:c>
      <x:c r="T20" s="60" t="n">
        <x:f>S20*H20</x:f>
        <x:v>11505.727876459214</x:v>
      </x:c>
      <x:c r="U20" s="60" t="n">
        <x:f>K20*G20</x:f>
        <x:v>32965.05432042721</x:v>
      </x:c>
      <x:c r="V20" s="60" t="n">
        <x:f>S20-T20-M20-N20-O20-P20-Q20-U20</x:f>
        <x:v>7463.510237596376</x:v>
      </x:c>
      <x:c r="W20" s="68" t="n">
        <x:f>IFERROR(V20/S20,0)</x:f>
        <x:v>0.1211810271668291</x:v>
      </x:c>
      <x:c r="X20" s="72" t="n">
        <x:f>IFERROR(S20/Q20,0)</x:f>
        <x:v>26.083875055278646</x:v>
      </x:c>
      <x:c r="Y20" s="30" t="str">
        <x:v>Моделируемые данные Unitmetra</x:v>
      </x:c>
    </x:row>
    <x:row r="21">
      <x:c r="A21" s="48" t="str">
        <x:v>2025-10</x:v>
      </x:c>
      <x:c r="B21" s="48" t="str">
        <x:v>UM-004</x:v>
      </x:c>
      <x:c r="C21" s="48" t="str">
        <x:v>Офисное футляр</x:v>
      </x:c>
      <x:c r="D21" s="48" t="str">
        <x:v>Платья</x:v>
      </x:c>
      <x:c r="E21" s="56" t="n">
        <x:v>3800</x:v>
      </x:c>
      <x:c r="F21" s="64" t="n">
        <x:v>0.30531168390318464</x:v>
      </x:c>
      <x:c r="G21" s="56" t="n">
        <x:v>1433.2632313229221</x:v>
      </x:c>
      <x:c r="H21" s="64" t="n">
        <x:v>0.18681235477481886</x:v>
      </x:c>
      <x:c r="I21" s="56" t="n">
        <x:v>41</x:v>
      </x:c>
      <x:c r="J21" s="56" t="n">
        <x:v>20</x:v>
      </x:c>
      <x:c r="K21" s="56" t="n">
        <x:v>21</x:v>
      </x:c>
      <x:c r="L21" s="56" t="n">
        <x:v>2639.8156011678984</x:v>
      </x:c>
      <x:c r="M21" s="56" t="n">
        <x:v>4784.433782984749</x:v>
      </x:c>
      <x:c r="N21" s="56" t="n">
        <x:v>1478.4993442188454</x:v>
      </x:c>
      <x:c r="O21" s="56" t="n">
        <x:v>494.26413889142424</x:v>
      </x:c>
      <x:c r="P21" s="56" t="n">
        <x:v>35.087508856324035</x:v>
      </x:c>
      <x:c r="Q21" s="56" t="n">
        <x:v>2258.37961007457</x:v>
      </x:c>
      <x:c r="R21" s="68" t="n">
        <x:f>IFERROR(K21/I21,0)</x:f>
        <x:v>0.5121951219512195</x:v>
      </x:c>
      <x:c r="S21" s="60" t="n">
        <x:f>K21*L21</x:f>
        <x:v>55436.12762452586</x:v>
      </x:c>
      <x:c r="T21" s="60" t="n">
        <x:f>S21*H21</x:f>
        <x:v>10356.153541135061</x:v>
      </x:c>
      <x:c r="U21" s="60" t="n">
        <x:f>K21*G21</x:f>
        <x:v>30098.527857781366</x:v>
      </x:c>
      <x:c r="V21" s="60" t="n">
        <x:f>S21-T21-M21-N21-O21-P21-Q21-U21</x:f>
        <x:v>5930.7818405835205</x:v>
      </x:c>
      <x:c r="W21" s="68" t="n">
        <x:f>IFERROR(V21/S21,0)</x:f>
        <x:v>0.10698405705306956</x:v>
      </x:c>
      <x:c r="X21" s="72" t="n">
        <x:f>IFERROR(S21/Q21,0)</x:f>
        <x:v>24.546859782663113</x:v>
      </x:c>
      <x:c r="Y21" s="30" t="str">
        <x:v>Моделируемые данные Unitmetra</x:v>
      </x:c>
    </x:row>
    <x:row r="22">
      <x:c r="A22" s="48" t="str">
        <x:v>2025-11</x:v>
      </x:c>
      <x:c r="B22" s="48" t="str">
        <x:v>UM-004</x:v>
      </x:c>
      <x:c r="C22" s="48" t="str">
        <x:v>Офисное футляр</x:v>
      </x:c>
      <x:c r="D22" s="48" t="str">
        <x:v>Платья</x:v>
      </x:c>
      <x:c r="E22" s="56" t="n">
        <x:v>3800</x:v>
      </x:c>
      <x:c r="F22" s="64" t="n">
        <x:v>0.33531168390318467</x:v>
      </x:c>
      <x:c r="G22" s="56" t="n">
        <x:v>1433.2632313229221</x:v>
      </x:c>
      <x:c r="H22" s="64" t="n">
        <x:v>0.18681235477481886</x:v>
      </x:c>
      <x:c r="I22" s="56" t="n">
        <x:v>60</x:v>
      </x:c>
      <x:c r="J22" s="56" t="n">
        <x:v>27</x:v>
      </x:c>
      <x:c r="K22" s="56" t="n">
        <x:v>33</x:v>
      </x:c>
      <x:c r="L22" s="56" t="n">
        <x:v>2525.8156011678984</x:v>
      </x:c>
      <x:c r="M22" s="56" t="n">
        <x:v>4817.5546951032375</x:v>
      </x:c>
      <x:c r="N22" s="56" t="n">
        <x:v>1710.1979063466592</x:v>
      </x:c>
      <x:c r="O22" s="56" t="n">
        <x:v>1156.7213039458775</x:v>
      </x:c>
      <x:c r="P22" s="56" t="n">
        <x:v>0</x:v>
      </x:c>
      <x:c r="Q22" s="56" t="n">
        <x:v>3294.982284048541</x:v>
      </x:c>
      <x:c r="R22" s="68" t="n">
        <x:f>IFERROR(K22/I22,0)</x:f>
        <x:v>0.55</x:v>
      </x:c>
      <x:c r="S22" s="60" t="n">
        <x:f>K22*L22</x:f>
        <x:v>83351.91483854064</x:v>
      </x:c>
      <x:c r="T22" s="60" t="n">
        <x:f>S22*H22</x:f>
        <x:v>15571.167485977943</x:v>
      </x:c>
      <x:c r="U22" s="60" t="n">
        <x:f>K22*G22</x:f>
        <x:v>47297.68663365643</x:v>
      </x:c>
      <x:c r="V22" s="60" t="n">
        <x:f>S22-T22-M22-N22-O22-P22-Q22-U22</x:f>
        <x:v>9503.604529461954</x:v>
      </x:c>
      <x:c r="W22" s="68" t="n">
        <x:f>IFERROR(V22/S22,0)</x:f>
        <x:v>0.1140178308785251</x:v>
      </x:c>
      <x:c r="X22" s="72" t="n">
        <x:f>IFERROR(S22/Q22,0)</x:f>
        <x:v>25.29662002799185</x:v>
      </x:c>
      <x:c r="Y22" s="30" t="str">
        <x:v>Моделируемые данные Unitmetra</x:v>
      </x:c>
    </x:row>
    <x:row r="23">
      <x:c r="A23" s="48" t="str">
        <x:v>2025-12</x:v>
      </x:c>
      <x:c r="B23" s="48" t="str">
        <x:v>UM-004</x:v>
      </x:c>
      <x:c r="C23" s="48" t="str">
        <x:v>Офисное футляр</x:v>
      </x:c>
      <x:c r="D23" s="48" t="str">
        <x:v>Платья</x:v>
      </x:c>
      <x:c r="E23" s="56" t="n">
        <x:v>3800</x:v>
      </x:c>
      <x:c r="F23" s="64" t="n">
        <x:v>0.35531168390318457</x:v>
      </x:c>
      <x:c r="G23" s="56" t="n">
        <x:v>1433.2632313229221</x:v>
      </x:c>
      <x:c r="H23" s="64" t="n">
        <x:v>0.18681235477481886</x:v>
      </x:c>
      <x:c r="I23" s="56" t="n">
        <x:v>83</x:v>
      </x:c>
      <x:c r="J23" s="56" t="n">
        <x:v>42</x:v>
      </x:c>
      <x:c r="K23" s="56" t="n">
        <x:v>41</x:v>
      </x:c>
      <x:c r="L23" s="56" t="n">
        <x:v>2449.8156011678984</x:v>
      </x:c>
      <x:c r="M23" s="56" t="n">
        <x:v>9639.048534920656</x:v>
      </x:c>
      <x:c r="N23" s="56" t="n">
        <x:v>3218.076892865123</x:v>
      </x:c>
      <x:c r="O23" s="56" t="n">
        <x:v>1208.3480023085124</x:v>
      </x:c>
      <x:c r="P23" s="56" t="n">
        <x:v>393.54876435115887</x:v>
      </x:c>
      <x:c r="Q23" s="56" t="n">
        <x:v>3738.5777895372466</x:v>
      </x:c>
      <x:c r="R23" s="68" t="n">
        <x:f>IFERROR(K23/I23,0)</x:f>
        <x:v>0.4939759036144578</x:v>
      </x:c>
      <x:c r="S23" s="60" t="n">
        <x:f>K23*L23</x:f>
        <x:v>100442.43964788383</x:v>
      </x:c>
      <x:c r="T23" s="60" t="n">
        <x:f>S23*H23</x:f>
        <x:v>18763.888669948807</x:v>
      </x:c>
      <x:c r="U23" s="60" t="n">
        <x:f>K23*G23</x:f>
        <x:v>58763.792484239806</x:v>
      </x:c>
      <x:c r="V23" s="60" t="n">
        <x:f>S23-T23-M23-N23-O23-P23-Q23-U23</x:f>
        <x:v>4717.158509712521</x:v>
      </x:c>
      <x:c r="W23" s="68" t="n">
        <x:f>IFERROR(V23/S23,0)</x:f>
        <x:v>0.04696379863182568</x:v>
      </x:c>
      <x:c r="X23" s="72" t="n">
        <x:f>IFERROR(S23/Q23,0)</x:f>
        <x:v>26.86648380808906</x:v>
      </x:c>
      <x:c r="Y23" s="30" t="str">
        <x:v>Моделируемые данные Unitmetra</x:v>
      </x:c>
    </x:row>
    <x:row r="24">
      <x:c r="A24" s="48" t="str">
        <x:v>2026-01</x:v>
      </x:c>
      <x:c r="B24" s="48" t="str">
        <x:v>UM-004</x:v>
      </x:c>
      <x:c r="C24" s="48" t="str">
        <x:v>Офисное футляр</x:v>
      </x:c>
      <x:c r="D24" s="48" t="str">
        <x:v>Платья</x:v>
      </x:c>
      <x:c r="E24" s="56" t="n">
        <x:v>3800</x:v>
      </x:c>
      <x:c r="F24" s="64" t="n">
        <x:v>0.32531168390318466</x:v>
      </x:c>
      <x:c r="G24" s="56" t="n">
        <x:v>1433.2632313229221</x:v>
      </x:c>
      <x:c r="H24" s="64" t="n">
        <x:v>0.18681235477481886</x:v>
      </x:c>
      <x:c r="I24" s="56" t="n">
        <x:v>34</x:v>
      </x:c>
      <x:c r="J24" s="56" t="n">
        <x:v>17</x:v>
      </x:c>
      <x:c r="K24" s="56" t="n">
        <x:v>17</x:v>
      </x:c>
      <x:c r="L24" s="56" t="n">
        <x:v>2563.8156011678984</x:v>
      </x:c>
      <x:c r="M24" s="56" t="n">
        <x:v>4038.9485587195745</x:v>
      </x:c>
      <x:c r="N24" s="56" t="n">
        <x:v>1437.1348215301286</x:v>
      </x:c>
      <x:c r="O24" s="56" t="n">
        <x:v>1085.434879755352</x:v>
      </x:c>
      <x:c r="P24" s="56" t="n">
        <x:v>0</x:v>
      </x:c>
      <x:c r="Q24" s="56" t="n">
        <x:v>2173.557661001557</x:v>
      </x:c>
      <x:c r="R24" s="68" t="n">
        <x:f>IFERROR(K24/I24,0)</x:f>
        <x:v>0.5</x:v>
      </x:c>
      <x:c r="S24" s="60" t="n">
        <x:f>K24*L24</x:f>
        <x:v>43584.86521985427</x:v>
      </x:c>
      <x:c r="T24" s="60" t="n">
        <x:f>S24*H24</x:f>
        <x:v>8142.191304264079</x:v>
      </x:c>
      <x:c r="U24" s="60" t="n">
        <x:f>K24*G24</x:f>
        <x:v>24365.474932489677</x:v>
      </x:c>
      <x:c r="V24" s="60" t="n">
        <x:f>S24-T24-M24-N24-O24-P24-Q24-U24</x:f>
        <x:v>2342.1230620939023</x:v>
      </x:c>
      <x:c r="W24" s="68" t="n">
        <x:f>IFERROR(V24/S24,0)</x:f>
        <x:v>0.053737072497060105</x:v>
      </x:c>
      <x:c r="X24" s="72" t="n">
        <x:f>IFERROR(S24/Q24,0)</x:f>
        <x:v>20.052316072337707</x:v>
      </x:c>
      <x:c r="Y24" s="30" t="str">
        <x:v>Моделируемые данные Unitmetra</x:v>
      </x:c>
    </x:row>
    <x:row r="25">
      <x:c r="A25" s="48" t="str">
        <x:v>2026-02</x:v>
      </x:c>
      <x:c r="B25" s="48" t="str">
        <x:v>UM-004</x:v>
      </x:c>
      <x:c r="C25" s="48" t="str">
        <x:v>Офисное футляр</x:v>
      </x:c>
      <x:c r="D25" s="48" t="str">
        <x:v>Платья</x:v>
      </x:c>
      <x:c r="E25" s="56" t="n">
        <x:v>3800</x:v>
      </x:c>
      <x:c r="F25" s="64" t="n">
        <x:v>0.30531168390318464</x:v>
      </x:c>
      <x:c r="G25" s="56" t="n">
        <x:v>1433.2632313229221</x:v>
      </x:c>
      <x:c r="H25" s="64" t="n">
        <x:v>0.18681235477481886</x:v>
      </x:c>
      <x:c r="I25" s="56" t="n">
        <x:v>39</x:v>
      </x:c>
      <x:c r="J25" s="56" t="n">
        <x:v>18</x:v>
      </x:c>
      <x:c r="K25" s="56" t="n">
        <x:v>21</x:v>
      </x:c>
      <x:c r="L25" s="56" t="n">
        <x:v>2639.8156011678984</x:v>
      </x:c>
      <x:c r="M25" s="56" t="n">
        <x:v>4332.655278945518</x:v>
      </x:c>
      <x:c r="N25" s="56" t="n">
        <x:v>1254.4378605811291</x:v>
      </x:c>
      <x:c r="O25" s="56" t="n">
        <x:v>1000.8079211089726</x:v>
      </x:c>
      <x:c r="P25" s="56" t="n">
        <x:v>0</x:v>
      </x:c>
      <x:c r="Q25" s="56" t="n">
        <x:v>3045.751630402489</x:v>
      </x:c>
      <x:c r="R25" s="68" t="n">
        <x:f>IFERROR(K25/I25,0)</x:f>
        <x:v>0.5384615384615384</x:v>
      </x:c>
      <x:c r="S25" s="60" t="n">
        <x:f>K25*L25</x:f>
        <x:v>55436.12762452586</x:v>
      </x:c>
      <x:c r="T25" s="60" t="n">
        <x:f>S25*H25</x:f>
        <x:v>10356.153541135061</x:v>
      </x:c>
      <x:c r="U25" s="60" t="n">
        <x:f>K25*G25</x:f>
        <x:v>30098.527857781366</x:v>
      </x:c>
      <x:c r="V25" s="60" t="n">
        <x:f>S25-T25-M25-N25-O25-P25-Q25-U25</x:f>
        <x:v>5347.793534571327</x:v>
      </x:c>
      <x:c r="W25" s="68" t="n">
        <x:f>IFERROR(V25/S25,0)</x:f>
        <x:v>0.0964676604179938</x:v>
      </x:c>
      <x:c r="X25" s="72" t="n">
        <x:f>IFERROR(S25/Q25,0)</x:f>
        <x:v>18.201132052648727</x:v>
      </x:c>
      <x:c r="Y25" s="30" t="str">
        <x:v>Моделируемые данные Unitmetra</x:v>
      </x:c>
    </x:row>
    <x:row r="26">
      <x:c r="A26" s="48" t="str">
        <x:v>2025-09</x:v>
      </x:c>
      <x:c r="B26" s="48" t="str">
        <x:v>UM-005</x:v>
      </x:c>
      <x:c r="C26" s="48" t="str">
        <x:v>Платье-рубашка</x:v>
      </x:c>
      <x:c r="D26" s="48" t="str">
        <x:v>Платья</x:v>
      </x:c>
      <x:c r="E26" s="56" t="n">
        <x:v>3100</x:v>
      </x:c>
      <x:c r="F26" s="64" t="n">
        <x:v>0.24928783251879283</x:v>
      </x:c>
      <x:c r="G26" s="56" t="n">
        <x:v>1114.051521997708</x:v>
      </x:c>
      <x:c r="H26" s="64" t="n">
        <x:v>0.1914038875348353</x:v>
      </x:c>
      <x:c r="I26" s="56" t="n">
        <x:v>41</x:v>
      </x:c>
      <x:c r="J26" s="56" t="n">
        <x:v>20</x:v>
      </x:c>
      <x:c r="K26" s="56" t="n">
        <x:v>21</x:v>
      </x:c>
      <x:c r="L26" s="56" t="n">
        <x:v>2327.2077191917424</x:v>
      </x:c>
      <x:c r="M26" s="56" t="n">
        <x:v>4190.957204625933</x:v>
      </x:c>
      <x:c r="N26" s="56" t="n">
        <x:v>1581.2358721914345</x:v>
      </x:c>
      <x:c r="O26" s="56" t="n">
        <x:v>710.4928740323411</x:v>
      </x:c>
      <x:c r="P26" s="56" t="n">
        <x:v>0</x:v>
      </x:c>
      <x:c r="Q26" s="56" t="n">
        <x:v>3814.093769535823</x:v>
      </x:c>
      <x:c r="R26" s="68" t="n">
        <x:f>IFERROR(K26/I26,0)</x:f>
        <x:v>0.5121951219512195</x:v>
      </x:c>
      <x:c r="S26" s="60" t="n">
        <x:f>K26*L26</x:f>
        <x:v>48871.36210302659</x:v>
      </x:c>
      <x:c r="T26" s="60" t="n">
        <x:f>S26*H26</x:f>
        <x:v>9354.168695641914</x:v>
      </x:c>
      <x:c r="U26" s="60" t="n">
        <x:f>K26*G26</x:f>
        <x:v>23395.08196195187</x:v>
      </x:c>
      <x:c r="V26" s="60" t="n">
        <x:f>S26-T26-M26-N26-O26-P26-Q26-U26</x:f>
        <x:v>5825.331725047279</x:v>
      </x:c>
      <x:c r="W26" s="68" t="n">
        <x:f>IFERROR(V26/S26,0)</x:f>
        <x:v>0.11919724506075344</x:v>
      </x:c>
      <x:c r="X26" s="72" t="n">
        <x:f>IFERROR(S26/Q26,0)</x:f>
        <x:v>12.813361457805549</x:v>
      </x:c>
      <x:c r="Y26" s="30" t="str">
        <x:v>Моделируемые данные Unitmetra</x:v>
      </x:c>
    </x:row>
    <x:row r="27">
      <x:c r="A27" s="48" t="str">
        <x:v>2025-10</x:v>
      </x:c>
      <x:c r="B27" s="48" t="str">
        <x:v>UM-005</x:v>
      </x:c>
      <x:c r="C27" s="48" t="str">
        <x:v>Платье-рубашка</x:v>
      </x:c>
      <x:c r="D27" s="48" t="str">
        <x:v>Платья</x:v>
      </x:c>
      <x:c r="E27" s="56" t="n">
        <x:v>3100</x:v>
      </x:c>
      <x:c r="F27" s="64" t="n">
        <x:v>0.2592878325187927</x:v>
      </x:c>
      <x:c r="G27" s="56" t="n">
        <x:v>1114.051521997708</x:v>
      </x:c>
      <x:c r="H27" s="64" t="n">
        <x:v>0.1914038875348353</x:v>
      </x:c>
      <x:c r="I27" s="56" t="n">
        <x:v>52</x:v>
      </x:c>
      <x:c r="J27" s="56" t="n">
        <x:v>22</x:v>
      </x:c>
      <x:c r="K27" s="56" t="n">
        <x:v>30</x:v>
      </x:c>
      <x:c r="L27" s="56" t="n">
        <x:v>2296.2077191917424</x:v>
      </x:c>
      <x:c r="M27" s="56" t="n">
        <x:v>5564.635707628367</x:v>
      </x:c>
      <x:c r="N27" s="56" t="n">
        <x:v>1680.7504095657207</x:v>
      </x:c>
      <x:c r="O27" s="56" t="n">
        <x:v>1345.20452779928</x:v>
      </x:c>
      <x:c r="P27" s="56" t="n">
        <x:v>0</x:v>
      </x:c>
      <x:c r="Q27" s="56" t="n">
        <x:v>5317.34529942333</x:v>
      </x:c>
      <x:c r="R27" s="68" t="n">
        <x:f>IFERROR(K27/I27,0)</x:f>
        <x:v>0.5769230769230769</x:v>
      </x:c>
      <x:c r="S27" s="60" t="n">
        <x:f>K27*L27</x:f>
        <x:v>68886.23157575227</x:v>
      </x:c>
      <x:c r="T27" s="60" t="n">
        <x:f>S27*H27</x:f>
        <x:v>13185.092521223909</x:v>
      </x:c>
      <x:c r="U27" s="60" t="n">
        <x:f>K27*G27</x:f>
        <x:v>33421.54565993124</x:v>
      </x:c>
      <x:c r="V27" s="60" t="n">
        <x:f>S27-T27-M27-N27-O27-P27-Q27-U27</x:f>
        <x:v>8371.657450180428</x:v>
      </x:c>
      <x:c r="W27" s="68" t="n">
        <x:f>IFERROR(V27/S27,0)</x:f>
        <x:v>0.12152874759848561</x:v>
      </x:c>
      <x:c r="X27" s="72" t="n">
        <x:f>IFERROR(S27/Q27,0)</x:f>
        <x:v>12.955004367164763</x:v>
      </x:c>
      <x:c r="Y27" s="30" t="str">
        <x:v>Моделируемые данные Unitmetra</x:v>
      </x:c>
    </x:row>
    <x:row r="28">
      <x:c r="A28" s="48" t="str">
        <x:v>2025-11</x:v>
      </x:c>
      <x:c r="B28" s="48" t="str">
        <x:v>UM-005</x:v>
      </x:c>
      <x:c r="C28" s="48" t="str">
        <x:v>Платье-рубашка</x:v>
      </x:c>
      <x:c r="D28" s="48" t="str">
        <x:v>Платья</x:v>
      </x:c>
      <x:c r="E28" s="56" t="n">
        <x:v>3100</x:v>
      </x:c>
      <x:c r="F28" s="64" t="n">
        <x:v>0.289287832518793</x:v>
      </x:c>
      <x:c r="G28" s="56" t="n">
        <x:v>1114.051521997708</x:v>
      </x:c>
      <x:c r="H28" s="64" t="n">
        <x:v>0.1914038875348353</x:v>
      </x:c>
      <x:c r="I28" s="56" t="n">
        <x:v>68</x:v>
      </x:c>
      <x:c r="J28" s="56" t="n">
        <x:v>30</x:v>
      </x:c>
      <x:c r="K28" s="56" t="n">
        <x:v>38</x:v>
      </x:c>
      <x:c r="L28" s="56" t="n">
        <x:v>2203.207719191742</x:v>
      </x:c>
      <x:c r="M28" s="56" t="n">
        <x:v>7131.561943580668</x:v>
      </x:c>
      <x:c r="N28" s="56" t="n">
        <x:v>2422.3127741623407</x:v>
      </x:c>
      <x:c r="O28" s="56" t="n">
        <x:v>989.3448359852218</x:v>
      </x:c>
      <x:c r="P28" s="56" t="n">
        <x:v>41.298052322395165</x:v>
      </x:c>
      <x:c r="Q28" s="56" t="n">
        <x:v>6150.404329741871</x:v>
      </x:c>
      <x:c r="R28" s="68" t="n">
        <x:f>IFERROR(K28/I28,0)</x:f>
        <x:v>0.5588235294117647</x:v>
      </x:c>
      <x:c r="S28" s="60" t="n">
        <x:f>K28*L28</x:f>
        <x:v>83721.89332928619</x:v>
      </x:c>
      <x:c r="T28" s="60" t="n">
        <x:f>S28*H28</x:f>
        <x:v>16024.695855002172</x:v>
      </x:c>
      <x:c r="U28" s="60" t="n">
        <x:f>K28*G28</x:f>
        <x:v>42333.95783591291</x:v>
      </x:c>
      <x:c r="V28" s="60" t="n">
        <x:f>S28-T28-M28-N28-O28-P28-Q28-U28</x:f>
        <x:v>8628.317702578628</x:v>
      </x:c>
      <x:c r="W28" s="68" t="n">
        <x:f>IFERROR(V28/S28,0)</x:f>
        <x:v>0.10305927588907518</x:v>
      </x:c>
      <x:c r="X28" s="72" t="n">
        <x:f>IFERROR(S28/Q28,0)</x:f>
        <x:v>13.612421044325057</x:v>
      </x:c>
      <x:c r="Y28" s="30" t="str">
        <x:v>Моделируемые данные Unitmetra</x:v>
      </x:c>
    </x:row>
    <x:row r="29">
      <x:c r="A29" s="48" t="str">
        <x:v>2025-12</x:v>
      </x:c>
      <x:c r="B29" s="48" t="str">
        <x:v>UM-005</x:v>
      </x:c>
      <x:c r="C29" s="48" t="str">
        <x:v>Платье-рубашка</x:v>
      </x:c>
      <x:c r="D29" s="48" t="str">
        <x:v>Платья</x:v>
      </x:c>
      <x:c r="E29" s="56" t="n">
        <x:v>3100</x:v>
      </x:c>
      <x:c r="F29" s="64" t="n">
        <x:v>0.30928783251879277</x:v>
      </x:c>
      <x:c r="G29" s="56" t="n">
        <x:v>1114.051521997708</x:v>
      </x:c>
      <x:c r="H29" s="64" t="n">
        <x:v>0.1914038875348353</x:v>
      </x:c>
      <x:c r="I29" s="56" t="n">
        <x:v>96</x:v>
      </x:c>
      <x:c r="J29" s="56" t="n">
        <x:v>43</x:v>
      </x:c>
      <x:c r="K29" s="56" t="n">
        <x:v>53</x:v>
      </x:c>
      <x:c r="L29" s="56" t="n">
        <x:v>2141.2077191917424</x:v>
      </x:c>
      <x:c r="M29" s="56" t="n">
        <x:v>10954.679537786546</x:v>
      </x:c>
      <x:c r="N29" s="56" t="n">
        <x:v>2813.9605361982735</x:v>
      </x:c>
      <x:c r="O29" s="56" t="n">
        <x:v>756.6223925226368</x:v>
      </x:c>
      <x:c r="P29" s="56" t="n">
        <x:v>0</x:v>
      </x:c>
      <x:c r="Q29" s="56" t="n">
        <x:v>10907.776577889335</x:v>
      </x:c>
      <x:c r="R29" s="68" t="n">
        <x:f>IFERROR(K29/I29,0)</x:f>
        <x:v>0.5520833333333334</x:v>
      </x:c>
      <x:c r="S29" s="60" t="n">
        <x:f>K29*L29</x:f>
        <x:v>113484.00911716235</x:v>
      </x:c>
      <x:c r="T29" s="60" t="n">
        <x:f>S29*H29</x:f>
        <x:v>21721.280518063566</x:v>
      </x:c>
      <x:c r="U29" s="60" t="n">
        <x:f>K29*G29</x:f>
        <x:v>59044.730665878524</x:v>
      </x:c>
      <x:c r="V29" s="60" t="n">
        <x:f>S29-T29-M29-N29-O29-P29-Q29-U29</x:f>
        <x:v>7284.958888823472</x:v>
      </x:c>
      <x:c r="W29" s="68" t="n">
        <x:f>IFERROR(V29/S29,0)</x:f>
        <x:v>0.06419370398962894</x:v>
      </x:c>
      <x:c r="X29" s="72" t="n">
        <x:f>IFERROR(S29/Q29,0)</x:f>
        <x:v>10.403954307901822</x:v>
      </x:c>
      <x:c r="Y29" s="30" t="str">
        <x:v>Моделируемые данные Unitmetra</x:v>
      </x:c>
    </x:row>
    <x:row r="30">
      <x:c r="A30" s="48" t="str">
        <x:v>2026-01</x:v>
      </x:c>
      <x:c r="B30" s="48" t="str">
        <x:v>UM-005</x:v>
      </x:c>
      <x:c r="C30" s="48" t="str">
        <x:v>Платье-рубашка</x:v>
      </x:c>
      <x:c r="D30" s="48" t="str">
        <x:v>Платья</x:v>
      </x:c>
      <x:c r="E30" s="56" t="n">
        <x:v>3100</x:v>
      </x:c>
      <x:c r="F30" s="64" t="n">
        <x:v>0.27928783251879297</x:v>
      </x:c>
      <x:c r="G30" s="56" t="n">
        <x:v>1114.051521997708</x:v>
      </x:c>
      <x:c r="H30" s="64" t="n">
        <x:v>0.1914038875348353</x:v>
      </x:c>
      <x:c r="I30" s="56" t="n">
        <x:v>41</x:v>
      </x:c>
      <x:c r="J30" s="56" t="n">
        <x:v>18</x:v>
      </x:c>
      <x:c r="K30" s="56" t="n">
        <x:v>23</x:v>
      </x:c>
      <x:c r="L30" s="56" t="n">
        <x:v>2234.207719191742</x:v>
      </x:c>
      <x:c r="M30" s="56" t="n">
        <x:v>3587.6536383807656</x:v>
      </x:c>
      <x:c r="N30" s="56" t="n">
        <x:v>1035.798259267312</x:v>
      </x:c>
      <x:c r="O30" s="56" t="n">
        <x:v>1266.3742879244126</x:v>
      </x:c>
      <x:c r="P30" s="56" t="n">
        <x:v>0</x:v>
      </x:c>
      <x:c r="Q30" s="56" t="n">
        <x:v>4002.7172847157235</x:v>
      </x:c>
      <x:c r="R30" s="68" t="n">
        <x:f>IFERROR(K30/I30,0)</x:f>
        <x:v>0.5609756097560976</x:v>
      </x:c>
      <x:c r="S30" s="60" t="n">
        <x:f>K30*L30</x:f>
        <x:v>51386.77754141006</x:v>
      </x:c>
      <x:c r="T30" s="60" t="n">
        <x:f>S30*H30</x:f>
        <x:v>9835.628989313653</x:v>
      </x:c>
      <x:c r="U30" s="60" t="n">
        <x:f>K30*G30</x:f>
        <x:v>25623.185005947285</x:v>
      </x:c>
      <x:c r="V30" s="60" t="n">
        <x:f>S30-T30-M30-N30-O30-P30-Q30-U30</x:f>
        <x:v>6035.420075860904</x:v>
      </x:c>
      <x:c r="W30" s="68" t="n">
        <x:f>IFERROR(V30/S30,0)</x:f>
        <x:v>0.11745083783464058</x:v>
      </x:c>
      <x:c r="X30" s="72" t="n">
        <x:f>IFERROR(S30/Q30,0)</x:f>
        <x:v>12.837973278210079</x:v>
      </x:c>
      <x:c r="Y30" s="30" t="str">
        <x:v>Моделируемые данные Unitmetra</x:v>
      </x:c>
    </x:row>
    <x:row r="31">
      <x:c r="A31" s="48" t="str">
        <x:v>2026-02</x:v>
      </x:c>
      <x:c r="B31" s="48" t="str">
        <x:v>UM-005</x:v>
      </x:c>
      <x:c r="C31" s="48" t="str">
        <x:v>Платье-рубашка</x:v>
      </x:c>
      <x:c r="D31" s="48" t="str">
        <x:v>Платья</x:v>
      </x:c>
      <x:c r="E31" s="56" t="n">
        <x:v>3100</x:v>
      </x:c>
      <x:c r="F31" s="64" t="n">
        <x:v>0.2592878325187927</x:v>
      </x:c>
      <x:c r="G31" s="56" t="n">
        <x:v>1114.051521997708</x:v>
      </x:c>
      <x:c r="H31" s="64" t="n">
        <x:v>0.1914038875348353</x:v>
      </x:c>
      <x:c r="I31" s="56" t="n">
        <x:v>52</x:v>
      </x:c>
      <x:c r="J31" s="56" t="n">
        <x:v>23</x:v>
      </x:c>
      <x:c r="K31" s="56" t="n">
        <x:v>29</x:v>
      </x:c>
      <x:c r="L31" s="56" t="n">
        <x:v>2296.2077191917424</x:v>
      </x:c>
      <x:c r="M31" s="56" t="n">
        <x:v>4444.588258301623</x:v>
      </x:c>
      <x:c r="N31" s="56" t="n">
        <x:v>1661.6616314398934</x:v>
      </x:c>
      <x:c r="O31" s="56" t="n">
        <x:v>1026.7207860180195</x:v>
      </x:c>
      <x:c r="P31" s="56" t="n">
        <x:v>0</x:v>
      </x:c>
      <x:c r="Q31" s="56" t="n">
        <x:v>3835.405862548406</x:v>
      </x:c>
      <x:c r="R31" s="68" t="n">
        <x:f>IFERROR(K31/I31,0)</x:f>
        <x:v>0.5576923076923077</x:v>
      </x:c>
      <x:c r="S31" s="60" t="n">
        <x:f>K31*L31</x:f>
        <x:v>66590.02385656053</x:v>
      </x:c>
      <x:c r="T31" s="60" t="n">
        <x:f>S31*H31</x:f>
        <x:v>12745.589437183111</x:v>
      </x:c>
      <x:c r="U31" s="60" t="n">
        <x:f>K31*G31</x:f>
        <x:v>32307.494137933532</x:v>
      </x:c>
      <x:c r="V31" s="60" t="n">
        <x:f>S31-T31-M31-N31-O31-P31-Q31-U31</x:f>
        <x:v>10568.563743135946</x:v>
      </x:c>
      <x:c r="W31" s="68" t="n">
        <x:f>IFERROR(V31/S31,0)</x:f>
        <x:v>0.15871091690703334</x:v>
      </x:c>
      <x:c r="X31" s="72" t="n">
        <x:f>IFERROR(S31/Q31,0)</x:f>
        <x:v>17.36192367717645</x:v>
      </x:c>
      <x:c r="Y31" s="30" t="str">
        <x:v>Моделируемые данные Unitmetra</x:v>
      </x:c>
    </x:row>
    <x:row r="32">
      <x:c r="A32" s="48" t="str">
        <x:v>2025-09</x:v>
      </x:c>
      <x:c r="B32" s="48" t="str">
        <x:v>UM-006</x:v>
      </x:c>
      <x:c r="C32" s="48" t="str">
        <x:v>Вечернее макси</x:v>
      </x:c>
      <x:c r="D32" s="48" t="str">
        <x:v>Платья</x:v>
      </x:c>
      <x:c r="E32" s="56" t="n">
        <x:v>3200</x:v>
      </x:c>
      <x:c r="F32" s="64" t="n">
        <x:v>0.16078744085367547</x:v>
      </x:c>
      <x:c r="G32" s="56" t="n">
        <x:v>1212.9090016086986</x:v>
      </x:c>
      <x:c r="H32" s="64" t="n">
        <x:v>0.20344348981388785</x:v>
      </x:c>
      <x:c r="I32" s="56" t="n">
        <x:v>22</x:v>
      </x:c>
      <x:c r="J32" s="56" t="n">
        <x:v>15</x:v>
      </x:c>
      <x:c r="K32" s="56" t="n">
        <x:v>7</x:v>
      </x:c>
      <x:c r="L32" s="56" t="n">
        <x:v>2685.4801892682385</x:v>
      </x:c>
      <x:c r="M32" s="56" t="n">
        <x:v>1819.1066685860349</x:v>
      </x:c>
      <x:c r="N32" s="56" t="n">
        <x:v>915.8905669599518</x:v>
      </x:c>
      <x:c r="O32" s="56" t="n">
        <x:v>476.54451726984</x:v>
      </x:c>
      <x:c r="P32" s="56" t="n">
        <x:v>0</x:v>
      </x:c>
      <x:c r="Q32" s="56" t="n">
        <x:v>4111.660688217878</x:v>
      </x:c>
      <x:c r="R32" s="68" t="n">
        <x:f>IFERROR(K32/I32,0)</x:f>
        <x:v>0.3181818181818182</x:v>
      </x:c>
      <x:c r="S32" s="60" t="n">
        <x:f>K32*L32</x:f>
        <x:v>18798.36132487767</x:v>
      </x:c>
      <x:c r="T32" s="60" t="n">
        <x:f>S32*H32</x:f>
        <x:v>3824.4042307155337</x:v>
      </x:c>
      <x:c r="U32" s="60" t="n">
        <x:f>K32*G32</x:f>
        <x:v>8490.36301126089</x:v>
      </x:c>
      <x:c r="V32" s="60" t="n">
        <x:f>S32-T32-M32-N32-O32-P32-Q32-U32</x:f>
        <x:v>-839.6083581324574</x:v>
      </x:c>
      <x:c r="W32" s="68" t="n">
        <x:f>IFERROR(V32/S32,0)</x:f>
        <x:v>-0.044663912115644</x:v>
      </x:c>
      <x:c r="X32" s="72" t="n">
        <x:f>IFERROR(S32/Q32,0)</x:f>
        <x:v>4.571963192085646</x:v>
      </x:c>
      <x:c r="Y32" s="30" t="str">
        <x:v>Моделируемые данные Unitmetra</x:v>
      </x:c>
    </x:row>
    <x:row r="33">
      <x:c r="A33" s="48" t="str">
        <x:v>2025-10</x:v>
      </x:c>
      <x:c r="B33" s="48" t="str">
        <x:v>UM-006</x:v>
      </x:c>
      <x:c r="C33" s="48" t="str">
        <x:v>Вечернее макси</x:v>
      </x:c>
      <x:c r="D33" s="48" t="str">
        <x:v>Платья</x:v>
      </x:c>
      <x:c r="E33" s="56" t="n">
        <x:v>3200</x:v>
      </x:c>
      <x:c r="F33" s="64" t="n">
        <x:v>0.17078744085367548</x:v>
      </x:c>
      <x:c r="G33" s="56" t="n">
        <x:v>1212.9090016086986</x:v>
      </x:c>
      <x:c r="H33" s="64" t="n">
        <x:v>0.20344348981388785</x:v>
      </x:c>
      <x:c r="I33" s="56" t="n">
        <x:v>26</x:v>
      </x:c>
      <x:c r="J33" s="56" t="n">
        <x:v>16</x:v>
      </x:c>
      <x:c r="K33" s="56" t="n">
        <x:v>10</x:v>
      </x:c>
      <x:c r="L33" s="56" t="n">
        <x:v>2653.4801892682385</x:v>
      </x:c>
      <x:c r="M33" s="56" t="n">
        <x:v>2862.041646437912</x:v>
      </x:c>
      <x:c r="N33" s="56" t="n">
        <x:v>1139.6111857335766</x:v>
      </x:c>
      <x:c r="O33" s="56" t="n">
        <x:v>483.8732716591185</x:v>
      </x:c>
      <x:c r="P33" s="56" t="n">
        <x:v>0</x:v>
      </x:c>
      <x:c r="Q33" s="56" t="n">
        <x:v>5645.77662318759</x:v>
      </x:c>
      <x:c r="R33" s="68" t="n">
        <x:f>IFERROR(K33/I33,0)</x:f>
        <x:v>0.38461538461538464</x:v>
      </x:c>
      <x:c r="S33" s="60" t="n">
        <x:f>K33*L33</x:f>
        <x:v>26534.801892682386</x:v>
      </x:c>
      <x:c r="T33" s="60" t="n">
        <x:f>S33*H33</x:f>
        <x:v>5398.332698567461</x:v>
      </x:c>
      <x:c r="U33" s="60" t="n">
        <x:f>K33*G33</x:f>
        <x:v>12129.090016086986</x:v>
      </x:c>
      <x:c r="V33" s="60" t="n">
        <x:f>S33-T33-M33-N33-O33-P33-Q33-U33</x:f>
        <x:v>-1123.9235489902603</x:v>
      </x:c>
      <x:c r="W33" s="68" t="n">
        <x:f>IFERROR(V33/S33,0)</x:f>
        <x:v>-0.04235658338569354</x:v>
      </x:c>
      <x:c r="X33" s="72" t="n">
        <x:f>IFERROR(S33/Q33,0)</x:f>
        <x:v>4.699938319150308</x:v>
      </x:c>
      <x:c r="Y33" s="30" t="str">
        <x:v>Моделируемые данные Unitmetra</x:v>
      </x:c>
    </x:row>
    <x:row r="34">
      <x:c r="A34" s="48" t="str">
        <x:v>2025-11</x:v>
      </x:c>
      <x:c r="B34" s="48" t="str">
        <x:v>UM-006</x:v>
      </x:c>
      <x:c r="C34" s="48" t="str">
        <x:v>Вечернее макси</x:v>
      </x:c>
      <x:c r="D34" s="48" t="str">
        <x:v>Платья</x:v>
      </x:c>
      <x:c r="E34" s="56" t="n">
        <x:v>3200</x:v>
      </x:c>
      <x:c r="F34" s="64" t="n">
        <x:v>0.20078744085367528</x:v>
      </x:c>
      <x:c r="G34" s="56" t="n">
        <x:v>1212.9090016086986</x:v>
      </x:c>
      <x:c r="H34" s="64" t="n">
        <x:v>0.20344348981388785</x:v>
      </x:c>
      <x:c r="I34" s="56" t="n">
        <x:v>36</x:v>
      </x:c>
      <x:c r="J34" s="56" t="n">
        <x:v>23</x:v>
      </x:c>
      <x:c r="K34" s="56" t="n">
        <x:v>13</x:v>
      </x:c>
      <x:c r="L34" s="56" t="n">
        <x:v>2557.480189268239</x:v>
      </x:c>
      <x:c r="M34" s="56" t="n">
        <x:v>3948.9378471618866</x:v>
      </x:c>
      <x:c r="N34" s="56" t="n">
        <x:v>1672.6139079729985</x:v>
      </x:c>
      <x:c r="O34" s="56" t="n">
        <x:v>297.0780831940374</x:v>
      </x:c>
      <x:c r="P34" s="56" t="n">
        <x:v>0</x:v>
      </x:c>
      <x:c r="Q34" s="56" t="n">
        <x:v>7257.911129833587</x:v>
      </x:c>
      <x:c r="R34" s="68" t="n">
        <x:f>IFERROR(K34/I34,0)</x:f>
        <x:v>0.3611111111111111</x:v>
      </x:c>
      <x:c r="S34" s="60" t="n">
        <x:f>K34*L34</x:f>
        <x:v>33247.242460487105</x:v>
      </x:c>
      <x:c r="T34" s="60" t="n">
        <x:f>S34*H34</x:f>
        <x:v>6763.935032849968</x:v>
      </x:c>
      <x:c r="U34" s="60" t="n">
        <x:f>K34*G34</x:f>
        <x:v>15767.817020913082</x:v>
      </x:c>
      <x:c r="V34" s="60" t="n">
        <x:f>S34-T34-M34-N34-O34-P34-Q34-U34</x:f>
        <x:v>-2461.0505614384547</x:v>
      </x:c>
      <x:c r="W34" s="68" t="n">
        <x:f>IFERROR(V34/S34,0)</x:f>
        <x:v>-0.07402269720152899</x:v>
      </x:c>
      <x:c r="X34" s="72" t="n">
        <x:f>IFERROR(S34/Q34,0)</x:f>
        <x:v>4.58082799110402</x:v>
      </x:c>
      <x:c r="Y34" s="30" t="str">
        <x:v>Моделируемые данные Unitmetra</x:v>
      </x:c>
    </x:row>
    <x:row r="35">
      <x:c r="A35" s="48" t="str">
        <x:v>2025-12</x:v>
      </x:c>
      <x:c r="B35" s="48" t="str">
        <x:v>UM-006</x:v>
      </x:c>
      <x:c r="C35" s="48" t="str">
        <x:v>Вечернее макси</x:v>
      </x:c>
      <x:c r="D35" s="48" t="str">
        <x:v>Платья</x:v>
      </x:c>
      <x:c r="E35" s="56" t="n">
        <x:v>3200</x:v>
      </x:c>
      <x:c r="F35" s="64" t="n">
        <x:v>0.2207874408536754</x:v>
      </x:c>
      <x:c r="G35" s="56" t="n">
        <x:v>1212.9090016086986</x:v>
      </x:c>
      <x:c r="H35" s="64" t="n">
        <x:v>0.20344348981388785</x:v>
      </x:c>
      <x:c r="I35" s="56" t="n">
        <x:v>46</x:v>
      </x:c>
      <x:c r="J35" s="56" t="n">
        <x:v>34</x:v>
      </x:c>
      <x:c r="K35" s="56" t="n">
        <x:v>12</x:v>
      </x:c>
      <x:c r="L35" s="56" t="n">
        <x:v>2493.4801892682385</x:v>
      </x:c>
      <x:c r="M35" s="56" t="n">
        <x:v>4713.140485722467</x:v>
      </x:c>
      <x:c r="N35" s="56" t="n">
        <x:v>2677.8139136442014</x:v>
      </x:c>
      <x:c r="O35" s="56" t="n">
        <x:v>418.1690965598184</x:v>
      </x:c>
      <x:c r="P35" s="56" t="n">
        <x:v>0</x:v>
      </x:c>
      <x:c r="Q35" s="56" t="n">
        <x:v>6413.653945404219</x:v>
      </x:c>
      <x:c r="R35" s="68" t="n">
        <x:f>IFERROR(K35/I35,0)</x:f>
        <x:v>0.2608695652173913</x:v>
      </x:c>
      <x:c r="S35" s="60" t="n">
        <x:f>K35*L35</x:f>
        <x:v>29921.76227121886</x:v>
      </x:c>
      <x:c r="T35" s="60" t="n">
        <x:f>S35*H35</x:f>
        <x:v>6087.387737838288</x:v>
      </x:c>
      <x:c r="U35" s="60" t="n">
        <x:f>K35*G35</x:f>
        <x:v>14554.908019304385</x:v>
      </x:c>
      <x:c r="V35" s="60" t="n">
        <x:f>S35-T35-M35-N35-O35-P35-Q35-U35</x:f>
        <x:v>-4943.310927254519</x:v>
      </x:c>
      <x:c r="W35" s="68" t="n">
        <x:f>IFERROR(V35/S35,0)</x:f>
        <x:v>-0.16520788055352575</x:v>
      </x:c>
      <x:c r="X35" s="72" t="n">
        <x:f>IFERROR(S35/Q35,0)</x:f>
        <x:v>4.665322221299398</x:v>
      </x:c>
      <x:c r="Y35" s="30" t="str">
        <x:v>Моделируемые данные Unitmetra</x:v>
      </x:c>
    </x:row>
    <x:row r="36">
      <x:c r="A36" s="48" t="str">
        <x:v>2026-01</x:v>
      </x:c>
      <x:c r="B36" s="48" t="str">
        <x:v>UM-006</x:v>
      </x:c>
      <x:c r="C36" s="48" t="str">
        <x:v>Вечернее макси</x:v>
      </x:c>
      <x:c r="D36" s="48" t="str">
        <x:v>Платья</x:v>
      </x:c>
      <x:c r="E36" s="56" t="n">
        <x:v>3200</x:v>
      </x:c>
      <x:c r="F36" s="64" t="n">
        <x:v>0.1907874408536755</x:v>
      </x:c>
      <x:c r="G36" s="56" t="n">
        <x:v>1212.9090016086986</x:v>
      </x:c>
      <x:c r="H36" s="64" t="n">
        <x:v>0.20344348981388785</x:v>
      </x:c>
      <x:c r="I36" s="56" t="n">
        <x:v>21</x:v>
      </x:c>
      <x:c r="J36" s="56" t="n">
        <x:v>14</x:v>
      </x:c>
      <x:c r="K36" s="56" t="n">
        <x:v>7</x:v>
      </x:c>
      <x:c r="L36" s="56" t="n">
        <x:v>2589.4801892682385</x:v>
      </x:c>
      <x:c r="M36" s="56" t="n">
        <x:v>1835.5506497609967</x:v>
      </x:c>
      <x:c r="N36" s="56" t="n">
        <x:v>1006.1117081697803</x:v>
      </x:c>
      <x:c r="O36" s="56" t="n">
        <x:v>689.9522736513056</x:v>
      </x:c>
      <x:c r="P36" s="56" t="n">
        <x:v>0</x:v>
      </x:c>
      <x:c r="Q36" s="56" t="n">
        <x:v>4157.0124848474625</x:v>
      </x:c>
      <x:c r="R36" s="68" t="n">
        <x:f>IFERROR(K36/I36,0)</x:f>
        <x:v>0.3333333333333333</x:v>
      </x:c>
      <x:c r="S36" s="60" t="n">
        <x:f>K36*L36</x:f>
        <x:v>18126.36132487767</x:v>
      </x:c>
      <x:c r="T36" s="60" t="n">
        <x:f>S36*H36</x:f>
        <x:v>3687.690205560601</x:v>
      </x:c>
      <x:c r="U36" s="60" t="n">
        <x:f>K36*G36</x:f>
        <x:v>8490.36301126089</x:v>
      </x:c>
      <x:c r="V36" s="60" t="n">
        <x:f>S36-T36-M36-N36-O36-P36-Q36-U36</x:f>
        <x:v>-1740.3190083733662</x:v>
      </x:c>
      <x:c r="W36" s="68" t="n">
        <x:f>IFERROR(V36/S36,0)</x:f>
        <x:v>-0.09601038935403165</x:v>
      </x:c>
      <x:c r="X36" s="72" t="n">
        <x:f>IFERROR(S36/Q36,0)</x:f>
        <x:v>4.360429849789782</x:v>
      </x:c>
      <x:c r="Y36" s="30" t="str">
        <x:v>Моделируемые данные Unitmetra</x:v>
      </x:c>
    </x:row>
    <x:row r="37">
      <x:c r="A37" s="48" t="str">
        <x:v>2026-02</x:v>
      </x:c>
      <x:c r="B37" s="48" t="str">
        <x:v>UM-006</x:v>
      </x:c>
      <x:c r="C37" s="48" t="str">
        <x:v>Вечернее макси</x:v>
      </x:c>
      <x:c r="D37" s="48" t="str">
        <x:v>Платья</x:v>
      </x:c>
      <x:c r="E37" s="56" t="n">
        <x:v>3200</x:v>
      </x:c>
      <x:c r="F37" s="64" t="n">
        <x:v>0.17078744085367548</x:v>
      </x:c>
      <x:c r="G37" s="56" t="n">
        <x:v>1212.9090016086986</x:v>
      </x:c>
      <x:c r="H37" s="64" t="n">
        <x:v>0.20344348981388785</x:v>
      </x:c>
      <x:c r="I37" s="56" t="n">
        <x:v>26</x:v>
      </x:c>
      <x:c r="J37" s="56" t="n">
        <x:v>18</x:v>
      </x:c>
      <x:c r="K37" s="56" t="n">
        <x:v>8</x:v>
      </x:c>
      <x:c r="L37" s="56" t="n">
        <x:v>2653.4801892682385</x:v>
      </x:c>
      <x:c r="M37" s="56" t="n">
        <x:v>3078.1655032223894</x:v>
      </x:c>
      <x:c r="N37" s="56" t="n">
        <x:v>1045.6214494302858</x:v>
      </x:c>
      <x:c r="O37" s="56" t="n">
        <x:v>232.84612276503447</x:v>
      </x:c>
      <x:c r="P37" s="56" t="n">
        <x:v>0</x:v>
      </x:c>
      <x:c r="Q37" s="56" t="n">
        <x:v>4432.544641839206</x:v>
      </x:c>
      <x:c r="R37" s="68" t="n">
        <x:f>IFERROR(K37/I37,0)</x:f>
        <x:v>0.3076923076923077</x:v>
      </x:c>
      <x:c r="S37" s="60" t="n">
        <x:f>K37*L37</x:f>
        <x:v>21227.841514145908</x:v>
      </x:c>
      <x:c r="T37" s="60" t="n">
        <x:f>S37*H37</x:f>
        <x:v>4318.666158853969</x:v>
      </x:c>
      <x:c r="U37" s="60" t="n">
        <x:f>K37*G37</x:f>
        <x:v>9703.27201286959</x:v>
      </x:c>
      <x:c r="V37" s="60" t="n">
        <x:f>S37-T37-M37-N37-O37-P37-Q37-U37</x:f>
        <x:v>-1583.2743748345656</x:v>
      </x:c>
      <x:c r="W37" s="68" t="n">
        <x:f>IFERROR(V37/S37,0)</x:f>
        <x:v>-0.07458480287689617</x:v>
      </x:c>
      <x:c r="X37" s="72" t="n">
        <x:f>IFERROR(S37/Q37,0)</x:f>
        <x:v>4.789086908177826</x:v>
      </x:c>
      <x:c r="Y37" s="30" t="str">
        <x:v>Моделируемые данные Unitmetra</x:v>
      </x:c>
    </x:row>
    <x:row r="38">
      <x:c r="A38" s="48" t="str">
        <x:v>2025-09</x:v>
      </x:c>
      <x:c r="B38" s="48" t="str">
        <x:v>UM-007</x:v>
      </x:c>
      <x:c r="C38" s="48" t="str">
        <x:v>Платье с запахом</x:v>
      </x:c>
      <x:c r="D38" s="48" t="str">
        <x:v>Платья</x:v>
      </x:c>
      <x:c r="E38" s="56" t="n">
        <x:v>5100</x:v>
      </x:c>
      <x:c r="F38" s="64" t="n">
        <x:v>0.18997866262112673</x:v>
      </x:c>
      <x:c r="G38" s="56" t="n">
        <x:v>1801.6393495910804</x:v>
      </x:c>
      <x:c r="H38" s="64" t="n">
        <x:v>0.1935617432660561</x:v>
      </x:c>
      <x:c r="I38" s="56" t="n">
        <x:v>48</x:v>
      </x:c>
      <x:c r="J38" s="56" t="n">
        <x:v>21</x:v>
      </x:c>
      <x:c r="K38" s="56" t="n">
        <x:v>27</x:v>
      </x:c>
      <x:c r="L38" s="56" t="n">
        <x:v>4131.108820632254</x:v>
      </x:c>
      <x:c r="M38" s="56" t="n">
        <x:v>3937.844126543781</x:v>
      </x:c>
      <x:c r="N38" s="56" t="n">
        <x:v>1225.3082319970129</x:v>
      </x:c>
      <x:c r="O38" s="56" t="n">
        <x:v>697.7150671867236</x:v>
      </x:c>
      <x:c r="P38" s="56" t="n">
        <x:v>134.78150947920227</x:v>
      </x:c>
      <x:c r="Q38" s="56" t="n">
        <x:v>5381.116222030604</x:v>
      </x:c>
      <x:c r="R38" s="68" t="n">
        <x:f>IFERROR(K38/I38,0)</x:f>
        <x:v>0.5625</x:v>
      </x:c>
      <x:c r="S38" s="60" t="n">
        <x:f>K38*L38</x:f>
        <x:v>111539.93815707085</x:v>
      </x:c>
      <x:c r="T38" s="60" t="n">
        <x:f>S38*H38</x:f>
        <x:v>21589.864873470724</x:v>
      </x:c>
      <x:c r="U38" s="60" t="n">
        <x:f>K38*G38</x:f>
        <x:v>48644.26243895917</x:v>
      </x:c>
      <x:c r="V38" s="60" t="n">
        <x:f>S38-T38-M38-N38-O38-P38-Q38-U38</x:f>
        <x:v>29929.045687403624</x:v>
      </x:c>
      <x:c r="W38" s="68" t="n">
        <x:f>IFERROR(V38/S38,0)</x:f>
        <x:v>0.26832582285689865</x:v>
      </x:c>
      <x:c r="X38" s="72" t="n">
        <x:f>IFERROR(S38/Q38,0)</x:f>
        <x:v>20.728029939293975</x:v>
      </x:c>
      <x:c r="Y38" s="30" t="str">
        <x:v>Моделируемые данные Unitmetra</x:v>
      </x:c>
    </x:row>
    <x:row r="39">
      <x:c r="A39" s="48" t="str">
        <x:v>2025-10</x:v>
      </x:c>
      <x:c r="B39" s="48" t="str">
        <x:v>UM-007</x:v>
      </x:c>
      <x:c r="C39" s="48" t="str">
        <x:v>Платье с запахом</x:v>
      </x:c>
      <x:c r="D39" s="48" t="str">
        <x:v>Платья</x:v>
      </x:c>
      <x:c r="E39" s="56" t="n">
        <x:v>5100</x:v>
      </x:c>
      <x:c r="F39" s="64" t="n">
        <x:v>0.19997866262112662</x:v>
      </x:c>
      <x:c r="G39" s="56" t="n">
        <x:v>1801.6393495910804</x:v>
      </x:c>
      <x:c r="H39" s="64" t="n">
        <x:v>0.1935617432660561</x:v>
      </x:c>
      <x:c r="I39" s="56" t="n">
        <x:v>61</x:v>
      </x:c>
      <x:c r="J39" s="56" t="n">
        <x:v>25</x:v>
      </x:c>
      <x:c r="K39" s="56" t="n">
        <x:v>36</x:v>
      </x:c>
      <x:c r="L39" s="56" t="n">
        <x:v>4080.1088206322543</x:v>
      </x:c>
      <x:c r="M39" s="56" t="n">
        <x:v>5153.451705236822</x:v>
      </x:c>
      <x:c r="N39" s="56" t="n">
        <x:v>2022.0734228056585</x:v>
      </x:c>
      <x:c r="O39" s="56" t="n">
        <x:v>986.2688877759131</x:v>
      </x:c>
      <x:c r="P39" s="56" t="n">
        <x:v>0</x:v>
      </x:c>
      <x:c r="Q39" s="56" t="n">
        <x:v>7145.561905436079</x:v>
      </x:c>
      <x:c r="R39" s="68" t="n">
        <x:f>IFERROR(K39/I39,0)</x:f>
        <x:v>0.5901639344262295</x:v>
      </x:c>
      <x:c r="S39" s="60" t="n">
        <x:f>K39*L39</x:f>
        <x:v>146883.91754276116</x:v>
      </x:c>
      <x:c r="T39" s="60" t="n">
        <x:f>S39*H39</x:f>
        <x:v>28431.10713732449</x:v>
      </x:c>
      <x:c r="U39" s="60" t="n">
        <x:f>K39*G39</x:f>
        <x:v>64859.01658527889</x:v>
      </x:c>
      <x:c r="V39" s="60" t="n">
        <x:f>S39-T39-M39-N39-O39-P39-Q39-U39</x:f>
        <x:v>38286.43789890333</x:v>
      </x:c>
      <x:c r="W39" s="68" t="n">
        <x:f>IFERROR(V39/S39,0)</x:f>
        <x:v>0.26065779385110216</x:v>
      </x:c>
      <x:c r="X39" s="72" t="n">
        <x:f>IFERROR(S39/Q39,0)</x:f>
        <x:v>20.555964595452924</x:v>
      </x:c>
      <x:c r="Y39" s="30" t="str">
        <x:v>Моделируемые данные Unitmetra</x:v>
      </x:c>
    </x:row>
    <x:row r="40">
      <x:c r="A40" s="48" t="str">
        <x:v>2025-11</x:v>
      </x:c>
      <x:c r="B40" s="48" t="str">
        <x:v>UM-007</x:v>
      </x:c>
      <x:c r="C40" s="48" t="str">
        <x:v>Платье с запахом</x:v>
      </x:c>
      <x:c r="D40" s="48" t="str">
        <x:v>Платья</x:v>
      </x:c>
      <x:c r="E40" s="56" t="n">
        <x:v>5100</x:v>
      </x:c>
      <x:c r="F40" s="64" t="n">
        <x:v>0.22997866262112665</x:v>
      </x:c>
      <x:c r="G40" s="56" t="n">
        <x:v>1801.6393495910804</x:v>
      </x:c>
      <x:c r="H40" s="64" t="n">
        <x:v>0.1935617432660561</x:v>
      </x:c>
      <x:c r="I40" s="56" t="n">
        <x:v>81</x:v>
      </x:c>
      <x:c r="J40" s="56" t="n">
        <x:v>33</x:v>
      </x:c>
      <x:c r="K40" s="56" t="n">
        <x:v>48</x:v>
      </x:c>
      <x:c r="L40" s="56" t="n">
        <x:v>3927.1088206322543</x:v>
      </x:c>
      <x:c r="M40" s="56" t="n">
        <x:v>9205.50000813646</x:v>
      </x:c>
      <x:c r="N40" s="56" t="n">
        <x:v>2072.7450579810975</x:v>
      </x:c>
      <x:c r="O40" s="56" t="n">
        <x:v>751.6616554759338</x:v>
      </x:c>
      <x:c r="P40" s="56" t="n">
        <x:v>0</x:v>
      </x:c>
      <x:c r="Q40" s="56" t="n">
        <x:v>11104.345462291454</x:v>
      </x:c>
      <x:c r="R40" s="68" t="n">
        <x:f>IFERROR(K40/I40,0)</x:f>
        <x:v>0.5925925925925926</x:v>
      </x:c>
      <x:c r="S40" s="60" t="n">
        <x:f>K40*L40</x:f>
        <x:v>188501.2233903482</x:v>
      </x:c>
      <x:c r="T40" s="60" t="n">
        <x:f>S40*H40</x:f>
        <x:v>36486.62540722007</x:v>
      </x:c>
      <x:c r="U40" s="60" t="n">
        <x:f>K40*G40</x:f>
        <x:v>86478.68878037186</x:v>
      </x:c>
      <x:c r="V40" s="60" t="n">
        <x:f>S40-T40-M40-N40-O40-P40-Q40-U40</x:f>
        <x:v>42401.657018871294</x:v>
      </x:c>
      <x:c r="W40" s="68" t="n">
        <x:f>IFERROR(V40/S40,0)</x:f>
        <x:v>0.22494101765624075</x:v>
      </x:c>
      <x:c r="X40" s="72" t="n">
        <x:f>IFERROR(S40/Q40,0)</x:f>
        <x:v>16.97544659705226</x:v>
      </x:c>
      <x:c r="Y40" s="30" t="str">
        <x:v>Моделируемые данные Unitmetra</x:v>
      </x:c>
    </x:row>
    <x:row r="41">
      <x:c r="A41" s="48" t="str">
        <x:v>2025-12</x:v>
      </x:c>
      <x:c r="B41" s="48" t="str">
        <x:v>UM-007</x:v>
      </x:c>
      <x:c r="C41" s="48" t="str">
        <x:v>Платье с запахом</x:v>
      </x:c>
      <x:c r="D41" s="48" t="str">
        <x:v>Платья</x:v>
      </x:c>
      <x:c r="E41" s="56" t="n">
        <x:v>5100</x:v>
      </x:c>
      <x:c r="F41" s="64" t="n">
        <x:v>0.24997866262112656</x:v>
      </x:c>
      <x:c r="G41" s="56" t="n">
        <x:v>1801.6393495910804</x:v>
      </x:c>
      <x:c r="H41" s="64" t="n">
        <x:v>0.1935617432660561</x:v>
      </x:c>
      <x:c r="I41" s="56" t="n">
        <x:v>111</x:v>
      </x:c>
      <x:c r="J41" s="56" t="n">
        <x:v>49</x:v>
      </x:c>
      <x:c r="K41" s="56" t="n">
        <x:v>62</x:v>
      </x:c>
      <x:c r="L41" s="56" t="n">
        <x:v>3825.1088206322547</x:v>
      </x:c>
      <x:c r="M41" s="56" t="n">
        <x:v>13010.907702095828</x:v>
      </x:c>
      <x:c r="N41" s="56" t="n">
        <x:v>2766.396856075028</x:v>
      </x:c>
      <x:c r="O41" s="56" t="n">
        <x:v>856.1335567295959</x:v>
      </x:c>
      <x:c r="P41" s="56" t="n">
        <x:v>63.308848374978886</x:v>
      </x:c>
      <x:c r="Q41" s="56" t="n">
        <x:v>9173.369906039801</x:v>
      </x:c>
      <x:c r="R41" s="68" t="n">
        <x:f>IFERROR(K41/I41,0)</x:f>
        <x:v>0.5585585585585585</x:v>
      </x:c>
      <x:c r="S41" s="60" t="n">
        <x:f>K41*L41</x:f>
        <x:v>237156.74687919978</x:v>
      </x:c>
      <x:c r="T41" s="60" t="n">
        <x:f>S41*H41</x:f>
        <x:v>45904.47335324472</x:v>
      </x:c>
      <x:c r="U41" s="60" t="n">
        <x:f>K41*G41</x:f>
        <x:v>111701.63967464698</x:v>
      </x:c>
      <x:c r="V41" s="60" t="n">
        <x:f>S41-T41-M41-N41-O41-P41-Q41-U41</x:f>
        <x:v>53680.51698199284</x:v>
      </x:c>
      <x:c r="W41" s="68" t="n">
        <x:f>IFERROR(V41/S41,0)</x:f>
        <x:v>0.22635036822012075</x:v>
      </x:c>
      <x:c r="X41" s="72" t="n">
        <x:f>IFERROR(S41/Q41,0)</x:f>
        <x:v>25.85273997542107</x:v>
      </x:c>
      <x:c r="Y41" s="30" t="str">
        <x:v>Моделируемые данные Unitmetra</x:v>
      </x:c>
    </x:row>
    <x:row r="42">
      <x:c r="A42" s="48" t="str">
        <x:v>2026-01</x:v>
      </x:c>
      <x:c r="B42" s="48" t="str">
        <x:v>UM-007</x:v>
      </x:c>
      <x:c r="C42" s="48" t="str">
        <x:v>Платье с запахом</x:v>
      </x:c>
      <x:c r="D42" s="48" t="str">
        <x:v>Платья</x:v>
      </x:c>
      <x:c r="E42" s="56" t="n">
        <x:v>5100</x:v>
      </x:c>
      <x:c r="F42" s="64" t="n">
        <x:v>0.21997866262112664</x:v>
      </x:c>
      <x:c r="G42" s="56" t="n">
        <x:v>1801.6393495910804</x:v>
      </x:c>
      <x:c r="H42" s="64" t="n">
        <x:v>0.1935617432660561</x:v>
      </x:c>
      <x:c r="I42" s="56" t="n">
        <x:v>49</x:v>
      </x:c>
      <x:c r="J42" s="56" t="n">
        <x:v>21</x:v>
      </x:c>
      <x:c r="K42" s="56" t="n">
        <x:v>28</x:v>
      </x:c>
      <x:c r="L42" s="56" t="n">
        <x:v>3978.1088206322543</x:v>
      </x:c>
      <x:c r="M42" s="56" t="n">
        <x:v>3981.3156852872235</x:v>
      </x:c>
      <x:c r="N42" s="56" t="n">
        <x:v>1224.696564564188</x:v>
      </x:c>
      <x:c r="O42" s="56" t="n">
        <x:v>803.3637687772152</x:v>
      </x:c>
      <x:c r="P42" s="56" t="n">
        <x:v>0</x:v>
      </x:c>
      <x:c r="Q42" s="56" t="n">
        <x:v>3177.9866727771337</x:v>
      </x:c>
      <x:c r="R42" s="68" t="n">
        <x:f>IFERROR(K42/I42,0)</x:f>
        <x:v>0.5714285714285714</x:v>
      </x:c>
      <x:c r="S42" s="60" t="n">
        <x:f>K42*L42</x:f>
        <x:v>111387.04697770312</x:v>
      </x:c>
      <x:c r="T42" s="60" t="n">
        <x:f>S42*H42</x:f>
        <x:v>21560.270990262303</x:v>
      </x:c>
      <x:c r="U42" s="60" t="n">
        <x:f>K42*G42</x:f>
        <x:v>50445.901788550254</x:v>
      </x:c>
      <x:c r="V42" s="60" t="n">
        <x:f>S42-T42-M42-N42-O42-P42-Q42-U42</x:f>
        <x:v>30193.511507484815</x:v>
      </x:c>
      <x:c r="W42" s="68" t="n">
        <x:f>IFERROR(V42/S42,0)</x:f>
        <x:v>0.2710684260579131</x:v>
      </x:c>
      <x:c r="X42" s="72" t="n">
        <x:f>IFERROR(S42/Q42,0)</x:f>
        <x:v>35.04956390530291</x:v>
      </x:c>
      <x:c r="Y42" s="30" t="str">
        <x:v>Моделируемые данные Unitmetra</x:v>
      </x:c>
    </x:row>
    <x:row r="43">
      <x:c r="A43" s="48" t="str">
        <x:v>2026-02</x:v>
      </x:c>
      <x:c r="B43" s="48" t="str">
        <x:v>UM-007</x:v>
      </x:c>
      <x:c r="C43" s="48" t="str">
        <x:v>Платье с запахом</x:v>
      </x:c>
      <x:c r="D43" s="48" t="str">
        <x:v>Платья</x:v>
      </x:c>
      <x:c r="E43" s="56" t="n">
        <x:v>5100</x:v>
      </x:c>
      <x:c r="F43" s="64" t="n">
        <x:v>0.19997866262112662</x:v>
      </x:c>
      <x:c r="G43" s="56" t="n">
        <x:v>1801.6393495910804</x:v>
      </x:c>
      <x:c r="H43" s="64" t="n">
        <x:v>0.1935617432660561</x:v>
      </x:c>
      <x:c r="I43" s="56" t="n">
        <x:v>51</x:v>
      </x:c>
      <x:c r="J43" s="56" t="n">
        <x:v>21</x:v>
      </x:c>
      <x:c r="K43" s="56" t="n">
        <x:v>30</x:v>
      </x:c>
      <x:c r="L43" s="56" t="n">
        <x:v>4080.1088206322543</x:v>
      </x:c>
      <x:c r="M43" s="56" t="n">
        <x:v>5820.873697058429</x:v>
      </x:c>
      <x:c r="N43" s="56" t="n">
        <x:v>1545.045024448994</x:v>
      </x:c>
      <x:c r="O43" s="56" t="n">
        <x:v>1559.10903307555</x:v>
      </x:c>
      <x:c r="P43" s="56" t="n">
        <x:v>0</x:v>
      </x:c>
      <x:c r="Q43" s="56" t="n">
        <x:v>6536.716302631689</x:v>
      </x:c>
      <x:c r="R43" s="68" t="n">
        <x:f>IFERROR(K43/I43,0)</x:f>
        <x:v>0.5882352941176471</x:v>
      </x:c>
      <x:c r="S43" s="60" t="n">
        <x:f>K43*L43</x:f>
        <x:v>122403.26461896763</x:v>
      </x:c>
      <x:c r="T43" s="60" t="n">
        <x:f>S43*H43</x:f>
        <x:v>23692.58928110374</x:v>
      </x:c>
      <x:c r="U43" s="60" t="n">
        <x:f>K43*G43</x:f>
        <x:v>54049.18048773241</x:v>
      </x:c>
      <x:c r="V43" s="60" t="n">
        <x:f>S43-T43-M43-N43-O43-P43-Q43-U43</x:f>
        <x:v>29199.750792916813</x:v>
      </x:c>
      <x:c r="W43" s="68" t="n">
        <x:f>IFERROR(V43/S43,0)</x:f>
        <x:v>0.23855369285952865</x:v>
      </x:c>
      <x:c r="X43" s="72" t="n">
        <x:f>IFERROR(S43/Q43,0)</x:f>
        <x:v>18.725497474884744</x:v>
      </x:c>
      <x:c r="Y43" s="30" t="str">
        <x:v>Моделируемые данные Unitmetra</x:v>
      </x:c>
    </x:row>
    <x:row r="44">
      <x:c r="A44" s="48" t="str">
        <x:v>2025-09</x:v>
      </x:c>
      <x:c r="B44" s="48" t="str">
        <x:v>UM-008</x:v>
      </x:c>
      <x:c r="C44" s="48" t="str">
        <x:v>Мини жакетное</x:v>
      </x:c>
      <x:c r="D44" s="48" t="str">
        <x:v>Платья</x:v>
      </x:c>
      <x:c r="E44" s="56" t="n">
        <x:v>3000</x:v>
      </x:c>
      <x:c r="F44" s="64" t="n">
        <x:v>0.17198531239601733</x:v>
      </x:c>
      <x:c r="G44" s="56" t="n">
        <x:v>906.723776021054</x:v>
      </x:c>
      <x:c r="H44" s="64" t="n">
        <x:v>0.20326977998072113</x:v>
      </x:c>
      <x:c r="I44" s="56" t="n">
        <x:v>37</x:v>
      </x:c>
      <x:c r="J44" s="56" t="n">
        <x:v>21</x:v>
      </x:c>
      <x:c r="K44" s="56" t="n">
        <x:v>16</x:v>
      </x:c>
      <x:c r="L44" s="56" t="n">
        <x:v>2484.044062811948</x:v>
      </x:c>
      <x:c r="M44" s="56" t="n">
        <x:v>3853.068192413316</x:v>
      </x:c>
      <x:c r="N44" s="56" t="n">
        <x:v>1775.3292061791155</x:v>
      </x:c>
      <x:c r="O44" s="56" t="n">
        <x:v>833.7707419535603</x:v>
      </x:c>
      <x:c r="P44" s="56" t="n">
        <x:v>0</x:v>
      </x:c>
      <x:c r="Q44" s="56" t="n">
        <x:v>9979.960432340386</x:v>
      </x:c>
      <x:c r="R44" s="68" t="n">
        <x:f>IFERROR(K44/I44,0)</x:f>
        <x:v>0.43243243243243246</x:v>
      </x:c>
      <x:c r="S44" s="60" t="n">
        <x:f>K44*L44</x:f>
        <x:v>39744.70500499117</x:v>
      </x:c>
      <x:c r="T44" s="60" t="n">
        <x:f>S44*H44</x:f>
        <x:v>8078.897441763221</x:v>
      </x:c>
      <x:c r="U44" s="60" t="n">
        <x:f>K44*G44</x:f>
        <x:v>14507.580416336865</x:v>
      </x:c>
      <x:c r="V44" s="60" t="n">
        <x:f>S44-T44-M44-N44-O44-P44-Q44-U44</x:f>
        <x:v>716.0985740047072</x:v>
      </x:c>
      <x:c r="W44" s="68" t="n">
        <x:f>IFERROR(V44/S44,0)</x:f>
        <x:v>0.018017458524721194</x:v>
      </x:c>
      <x:c r="X44" s="72" t="n">
        <x:f>IFERROR(S44/Q44,0)</x:f>
        <x:v>3.9824511604472064</x:v>
      </x:c>
      <x:c r="Y44" s="30" t="str">
        <x:v>Моделируемые данные Unitmetra</x:v>
      </x:c>
    </x:row>
    <x:row r="45">
      <x:c r="A45" s="48" t="str">
        <x:v>2025-10</x:v>
      </x:c>
      <x:c r="B45" s="48" t="str">
        <x:v>UM-008</x:v>
      </x:c>
      <x:c r="C45" s="48" t="str">
        <x:v>Мини жакетное</x:v>
      </x:c>
      <x:c r="D45" s="48" t="str">
        <x:v>Платья</x:v>
      </x:c>
      <x:c r="E45" s="56" t="n">
        <x:v>3000</x:v>
      </x:c>
      <x:c r="F45" s="64" t="n">
        <x:v>0.18198531239601723</x:v>
      </x:c>
      <x:c r="G45" s="56" t="n">
        <x:v>906.723776021054</x:v>
      </x:c>
      <x:c r="H45" s="64" t="n">
        <x:v>0.20326977998072113</x:v>
      </x:c>
      <x:c r="I45" s="56" t="n">
        <x:v>46</x:v>
      </x:c>
      <x:c r="J45" s="56" t="n">
        <x:v>28</x:v>
      </x:c>
      <x:c r="K45" s="56" t="n">
        <x:v>18</x:v>
      </x:c>
      <x:c r="L45" s="56" t="n">
        <x:v>2454.044062811948</x:v>
      </x:c>
      <x:c r="M45" s="56" t="n">
        <x:v>4441.808012572195</x:v>
      </x:c>
      <x:c r="N45" s="56" t="n">
        <x:v>1806.813932865392</x:v>
      </x:c>
      <x:c r="O45" s="56" t="n">
        <x:v>392.8206346741642</x:v>
      </x:c>
      <x:c r="P45" s="56" t="n">
        <x:v>40.063631313258206</x:v>
      </x:c>
      <x:c r="Q45" s="56" t="n">
        <x:v>10893.423977296408</x:v>
      </x:c>
      <x:c r="R45" s="68" t="n">
        <x:f>IFERROR(K45/I45,0)</x:f>
        <x:v>0.391304347826087</x:v>
      </x:c>
      <x:c r="S45" s="60" t="n">
        <x:f>K45*L45</x:f>
        <x:v>44172.793130615064</x:v>
      </x:c>
      <x:c r="T45" s="60" t="n">
        <x:f>S45*H45</x:f>
        <x:v>8978.993940794033</x:v>
      </x:c>
      <x:c r="U45" s="60" t="n">
        <x:f>K45*G45</x:f>
        <x:v>16321.027968378972</x:v>
      </x:c>
      <x:c r="V45" s="60" t="n">
        <x:f>S45-T45-M45-N45-O45-P45-Q45-U45</x:f>
        <x:v>1297.8410327206348</x:v>
      </x:c>
      <x:c r="W45" s="68" t="n">
        <x:f>IFERROR(V45/S45,0)</x:f>
        <x:v>0.029381004476738273</x:v>
      </x:c>
      <x:c r="X45" s="72" t="n">
        <x:f>IFERROR(S45/Q45,0)</x:f>
        <x:v>4.054996227327426</x:v>
      </x:c>
      <x:c r="Y45" s="30" t="str">
        <x:v>Моделируемые данные Unitmetra</x:v>
      </x:c>
    </x:row>
    <x:row r="46">
      <x:c r="A46" s="48" t="str">
        <x:v>2025-11</x:v>
      </x:c>
      <x:c r="B46" s="48" t="str">
        <x:v>UM-008</x:v>
      </x:c>
      <x:c r="C46" s="48" t="str">
        <x:v>Мини жакетное</x:v>
      </x:c>
      <x:c r="D46" s="48" t="str">
        <x:v>Платья</x:v>
      </x:c>
      <x:c r="E46" s="56" t="n">
        <x:v>3000</x:v>
      </x:c>
      <x:c r="F46" s="64" t="n">
        <x:v>0.21198531239601748</x:v>
      </x:c>
      <x:c r="G46" s="56" t="n">
        <x:v>906.723776021054</x:v>
      </x:c>
      <x:c r="H46" s="64" t="n">
        <x:v>0.20326977998072113</x:v>
      </x:c>
      <x:c r="I46" s="56" t="n">
        <x:v>68</x:v>
      </x:c>
      <x:c r="J46" s="56" t="n">
        <x:v>43</x:v>
      </x:c>
      <x:c r="K46" s="56" t="n">
        <x:v>25</x:v>
      </x:c>
      <x:c r="L46" s="56" t="n">
        <x:v>2364.0440628119477</x:v>
      </x:c>
      <x:c r="M46" s="56" t="n">
        <x:v>6302.656625473543</x:v>
      </x:c>
      <x:c r="N46" s="56" t="n">
        <x:v>3513.125099681827</x:v>
      </x:c>
      <x:c r="O46" s="56" t="n">
        <x:v>370.0364037515202</x:v>
      </x:c>
      <x:c r="P46" s="56" t="n">
        <x:v>0</x:v>
      </x:c>
      <x:c r="Q46" s="56" t="n">
        <x:v>14954.51860318705</x:v>
      </x:c>
      <x:c r="R46" s="68" t="n">
        <x:f>IFERROR(K46/I46,0)</x:f>
        <x:v>0.36764705882352944</x:v>
      </x:c>
      <x:c r="S46" s="60" t="n">
        <x:f>K46*L46</x:f>
        <x:v>59101.10157029869</x:v>
      </x:c>
      <x:c r="T46" s="60" t="n">
        <x:f>S46*H46</x:f>
        <x:v>12013.467912812866</x:v>
      </x:c>
      <x:c r="U46" s="60" t="n">
        <x:f>K46*G46</x:f>
        <x:v>22668.094400526352</x:v>
      </x:c>
      <x:c r="V46" s="60" t="n">
        <x:f>S46-T46-M46-N46-O46-P46-Q46-U46</x:f>
        <x:v>-720.7974751344627</x:v>
      </x:c>
      <x:c r="W46" s="68" t="n">
        <x:f>IFERROR(V46/S46,0)</x:f>
        <x:v>-0.012196007451351805</x:v>
      </x:c>
      <x:c r="X46" s="72" t="n">
        <x:f>IFERROR(S46/Q46,0)</x:f>
        <x:v>3.952056441168443</x:v>
      </x:c>
      <x:c r="Y46" s="30" t="str">
        <x:v>Моделируемые данные Unitmetra</x:v>
      </x:c>
    </x:row>
    <x:row r="47">
      <x:c r="A47" s="48" t="str">
        <x:v>2025-12</x:v>
      </x:c>
      <x:c r="B47" s="48" t="str">
        <x:v>UM-008</x:v>
      </x:c>
      <x:c r="C47" s="48" t="str">
        <x:v>Мини жакетное</x:v>
      </x:c>
      <x:c r="D47" s="48" t="str">
        <x:v>Платья</x:v>
      </x:c>
      <x:c r="E47" s="56" t="n">
        <x:v>3000</x:v>
      </x:c>
      <x:c r="F47" s="64" t="n">
        <x:v>0.23198531239601727</x:v>
      </x:c>
      <x:c r="G47" s="56" t="n">
        <x:v>906.723776021054</x:v>
      </x:c>
      <x:c r="H47" s="64" t="n">
        <x:v>0.20326977998072113</x:v>
      </x:c>
      <x:c r="I47" s="56" t="n">
        <x:v>78</x:v>
      </x:c>
      <x:c r="J47" s="56" t="n">
        <x:v>48</x:v>
      </x:c>
      <x:c r="K47" s="56" t="n">
        <x:v>30</x:v>
      </x:c>
      <x:c r="L47" s="56" t="n">
        <x:v>2304.044062811948</x:v>
      </x:c>
      <x:c r="M47" s="56" t="n">
        <x:v>9334.336364897577</x:v>
      </x:c>
      <x:c r="N47" s="56" t="n">
        <x:v>2645.7709508160087</x:v>
      </x:c>
      <x:c r="O47" s="56" t="n">
        <x:v>1160.38418564061</x:v>
      </x:c>
      <x:c r="P47" s="56" t="n">
        <x:v>100.75674431747106</x:v>
      </x:c>
      <x:c r="Q47" s="56" t="n">
        <x:v>16600.151182299596</x:v>
      </x:c>
      <x:c r="R47" s="68" t="n">
        <x:f>IFERROR(K47/I47,0)</x:f>
        <x:v>0.38461538461538464</x:v>
      </x:c>
      <x:c r="S47" s="60" t="n">
        <x:f>K47*L47</x:f>
        <x:v>69121.32188435845</x:v>
      </x:c>
      <x:c r="T47" s="60" t="n">
        <x:f>S47*H47</x:f>
        <x:v>14050.275891410145</x:v>
      </x:c>
      <x:c r="U47" s="60" t="n">
        <x:f>K47*G47</x:f>
        <x:v>27201.713280631622</x:v>
      </x:c>
      <x:c r="V47" s="60" t="n">
        <x:f>S47-T47-M47-N47-O47-P47-Q47-U47</x:f>
        <x:v>-1972.0667156545824</x:v>
      </x:c>
      <x:c r="W47" s="68" t="n">
        <x:f>IFERROR(V47/S47,0)</x:f>
        <x:v>-0.028530512176168955</x:v>
      </x:c>
      <x:c r="X47" s="72" t="n">
        <x:f>IFERROR(S47/Q47,0)</x:f>
        <x:v>4.163897131133426</x:v>
      </x:c>
      <x:c r="Y47" s="30" t="str">
        <x:v>Моделируемые данные Unitmetra</x:v>
      </x:c>
    </x:row>
    <x:row r="48">
      <x:c r="A48" s="48" t="str">
        <x:v>2026-01</x:v>
      </x:c>
      <x:c r="B48" s="48" t="str">
        <x:v>UM-008</x:v>
      </x:c>
      <x:c r="C48" s="48" t="str">
        <x:v>Мини жакетное</x:v>
      </x:c>
      <x:c r="D48" s="48" t="str">
        <x:v>Платья</x:v>
      </x:c>
      <x:c r="E48" s="56" t="n">
        <x:v>3000</x:v>
      </x:c>
      <x:c r="F48" s="64" t="n">
        <x:v>0.20198531239601725</x:v>
      </x:c>
      <x:c r="G48" s="56" t="n">
        <x:v>906.723776021054</x:v>
      </x:c>
      <x:c r="H48" s="64" t="n">
        <x:v>0.20326977998072113</x:v>
      </x:c>
      <x:c r="I48" s="56" t="n">
        <x:v>36</x:v>
      </x:c>
      <x:c r="J48" s="56" t="n">
        <x:v>20</x:v>
      </x:c>
      <x:c r="K48" s="56" t="n">
        <x:v>16</x:v>
      </x:c>
      <x:c r="L48" s="56" t="n">
        <x:v>2394.044062811948</x:v>
      </x:c>
      <x:c r="M48" s="56" t="n">
        <x:v>3273.389555761262</x:v>
      </x:c>
      <x:c r="N48" s="56" t="n">
        <x:v>1130.311817823203</x:v>
      </x:c>
      <x:c r="O48" s="56" t="n">
        <x:v>700.903913735388</x:v>
      </x:c>
      <x:c r="P48" s="56" t="n">
        <x:v>0</x:v>
      </x:c>
      <x:c r="Q48" s="56" t="n">
        <x:v>8795.693278918709</x:v>
      </x:c>
      <x:c r="R48" s="68" t="n">
        <x:f>IFERROR(K48/I48,0)</x:f>
        <x:v>0.4444444444444444</x:v>
      </x:c>
      <x:c r="S48" s="60" t="n">
        <x:f>K48*L48</x:f>
        <x:v>38304.70500499117</x:v>
      </x:c>
      <x:c r="T48" s="60" t="n">
        <x:f>S48*H48</x:f>
        <x:v>7786.188958590983</x:v>
      </x:c>
      <x:c r="U48" s="60" t="n">
        <x:f>K48*G48</x:f>
        <x:v>14507.580416336865</x:v>
      </x:c>
      <x:c r="V48" s="60" t="n">
        <x:f>S48-T48-M48-N48-O48-P48-Q48-U48</x:f>
        <x:v>2110.6370638247627</x:v>
      </x:c>
      <x:c r="W48" s="68" t="n">
        <x:f>IFERROR(V48/S48,0)</x:f>
        <x:v>0.055101248359692184</x:v>
      </x:c>
      <x:c r="X48" s="72" t="n">
        <x:f>IFERROR(S48/Q48,0)</x:f>
        <x:v>4.3549386944629935</x:v>
      </x:c>
      <x:c r="Y48" s="30" t="str">
        <x:v>Моделируемые данные Unitmetra</x:v>
      </x:c>
    </x:row>
    <x:row r="49">
      <x:c r="A49" s="48" t="str">
        <x:v>2026-02</x:v>
      </x:c>
      <x:c r="B49" s="48" t="str">
        <x:v>UM-008</x:v>
      </x:c>
      <x:c r="C49" s="48" t="str">
        <x:v>Мини жакетное</x:v>
      </x:c>
      <x:c r="D49" s="48" t="str">
        <x:v>Платья</x:v>
      </x:c>
      <x:c r="E49" s="56" t="n">
        <x:v>3000</x:v>
      </x:c>
      <x:c r="F49" s="64" t="n">
        <x:v>0.18198531239601723</x:v>
      </x:c>
      <x:c r="G49" s="56" t="n">
        <x:v>906.723776021054</x:v>
      </x:c>
      <x:c r="H49" s="64" t="n">
        <x:v>0.20326977998072113</x:v>
      </x:c>
      <x:c r="I49" s="56" t="n">
        <x:v>45</x:v>
      </x:c>
      <x:c r="J49" s="56" t="n">
        <x:v>27</x:v>
      </x:c>
      <x:c r="K49" s="56" t="n">
        <x:v>18</x:v>
      </x:c>
      <x:c r="L49" s="56" t="n">
        <x:v>2454.044062811948</x:v>
      </x:c>
      <x:c r="M49" s="56" t="n">
        <x:v>4016.304971436334</x:v>
      </x:c>
      <x:c r="N49" s="56" t="n">
        <x:v>2192.849683302079</x:v>
      </x:c>
      <x:c r="O49" s="56" t="n">
        <x:v>868.1787129749616</x:v>
      </x:c>
      <x:c r="P49" s="56" t="n">
        <x:v>0</x:v>
      </x:c>
      <x:c r="Q49" s="56" t="n">
        <x:v>10655.688757152066</x:v>
      </x:c>
      <x:c r="R49" s="68" t="n">
        <x:f>IFERROR(K49/I49,0)</x:f>
        <x:v>0.4</x:v>
      </x:c>
      <x:c r="S49" s="60" t="n">
        <x:f>K49*L49</x:f>
        <x:v>44172.793130615064</x:v>
      </x:c>
      <x:c r="T49" s="60" t="n">
        <x:f>S49*H49</x:f>
        <x:v>8978.993940794033</x:v>
      </x:c>
      <x:c r="U49" s="60" t="n">
        <x:f>K49*G49</x:f>
        <x:v>16321.027968378972</x:v>
      </x:c>
      <x:c r="V49" s="60" t="n">
        <x:f>S49-T49-M49-N49-O49-P49-Q49-U49</x:f>
        <x:v>1139.7490965766174</x:v>
      </x:c>
      <x:c r="W49" s="68" t="n">
        <x:f>IFERROR(V49/S49,0)</x:f>
        <x:v>0.02580206085692792</x:v>
      </x:c>
      <x:c r="X49" s="72" t="n">
        <x:f>IFERROR(S49/Q49,0)</x:f>
        <x:v>4.145465782394068</x:v>
      </x:c>
      <x:c r="Y49" s="30" t="str">
        <x:v>Моделируемые данные Unitmetra</x:v>
      </x:c>
    </x:row>
    <x:row r="50">
      <x:c r="A50" s="48" t="str">
        <x:v>2025-09</x:v>
      </x:c>
      <x:c r="B50" s="48" t="str">
        <x:v>UM-009</x:v>
      </x:c>
      <x:c r="C50" s="48" t="str">
        <x:v>Миди плиссе</x:v>
      </x:c>
      <x:c r="D50" s="48" t="str">
        <x:v>Платья</x:v>
      </x:c>
      <x:c r="E50" s="56" t="n">
        <x:v>4200</x:v>
      </x:c>
      <x:c r="F50" s="64" t="n">
        <x:v>0.23099859135246303</x:v>
      </x:c>
      <x:c r="G50" s="56" t="n">
        <x:v>1192.2345287276617</x:v>
      </x:c>
      <x:c r="H50" s="64" t="n">
        <x:v>0.2033941036626665</x:v>
      </x:c>
      <x:c r="I50" s="56" t="n">
        <x:v>24</x:v>
      </x:c>
      <x:c r="J50" s="56" t="n">
        <x:v>10</x:v>
      </x:c>
      <x:c r="K50" s="56" t="n">
        <x:v>14</x:v>
      </x:c>
      <x:c r="L50" s="56" t="n">
        <x:v>3229.8059163196554</x:v>
      </x:c>
      <x:c r="M50" s="56" t="n">
        <x:v>2464.260283506611</x:v>
      </x:c>
      <x:c r="N50" s="56" t="n">
        <x:v>777.5266711554262</x:v>
      </x:c>
      <x:c r="O50" s="56" t="n">
        <x:v>431.5525910912742</x:v>
      </x:c>
      <x:c r="P50" s="56" t="n">
        <x:v>38.90870478485019</x:v>
      </x:c>
      <x:c r="Q50" s="56" t="n">
        <x:v>2136.108218074127</x:v>
      </x:c>
      <x:c r="R50" s="68" t="n">
        <x:f>IFERROR(K50/I50,0)</x:f>
        <x:v>0.5833333333333334</x:v>
      </x:c>
      <x:c r="S50" s="60" t="n">
        <x:f>K50*L50</x:f>
        <x:v>45217.282828475174</x:v>
      </x:c>
      <x:c r="T50" s="60" t="n">
        <x:f>S50*H50</x:f>
        <x:v>9196.92871095899</x:v>
      </x:c>
      <x:c r="U50" s="60" t="n">
        <x:f>K50*G50</x:f>
        <x:v>16691.283402187262</x:v>
      </x:c>
      <x:c r="V50" s="60" t="n">
        <x:f>S50-T50-M50-N50-O50-P50-Q50-U50</x:f>
        <x:v>13480.714246716627</x:v>
      </x:c>
      <x:c r="W50" s="68" t="n">
        <x:f>IFERROR(V50/S50,0)</x:f>
        <x:v>0.2981318956703712</x:v>
      </x:c>
      <x:c r="X50" s="72" t="n">
        <x:f>IFERROR(S50/Q50,0)</x:f>
        <x:v>21.168067444280602</x:v>
      </x:c>
      <x:c r="Y50" s="30" t="str">
        <x:v>Моделируемые данные Unitmetra</x:v>
      </x:c>
    </x:row>
    <x:row r="51">
      <x:c r="A51" s="48" t="str">
        <x:v>2025-10</x:v>
      </x:c>
      <x:c r="B51" s="48" t="str">
        <x:v>UM-009</x:v>
      </x:c>
      <x:c r="C51" s="48" t="str">
        <x:v>Миди плиссе</x:v>
      </x:c>
      <x:c r="D51" s="48" t="str">
        <x:v>Платья</x:v>
      </x:c>
      <x:c r="E51" s="56" t="n">
        <x:v>4200</x:v>
      </x:c>
      <x:c r="F51" s="64" t="n">
        <x:v>0.24099859135246304</x:v>
      </x:c>
      <x:c r="G51" s="56" t="n">
        <x:v>1192.2345287276617</x:v>
      </x:c>
      <x:c r="H51" s="64" t="n">
        <x:v>0.2033941036626665</x:v>
      </x:c>
      <x:c r="I51" s="56" t="n">
        <x:v>26</x:v>
      </x:c>
      <x:c r="J51" s="56" t="n">
        <x:v>10</x:v>
      </x:c>
      <x:c r="K51" s="56" t="n">
        <x:v>16</x:v>
      </x:c>
      <x:c r="L51" s="56" t="n">
        <x:v>3187.8059163196554</x:v>
      </x:c>
      <x:c r="M51" s="56" t="n">
        <x:v>3005.242678542413</x:v>
      </x:c>
      <x:c r="N51" s="56" t="n">
        <x:v>668.502172012167</x:v>
      </x:c>
      <x:c r="O51" s="56" t="n">
        <x:v>430.43147685403903</x:v>
      </x:c>
      <x:c r="P51" s="56" t="n">
        <x:v>271.12294744043226</x:v>
      </x:c>
      <x:c r="Q51" s="56" t="n">
        <x:v>3092.7205802506614</x:v>
      </x:c>
      <x:c r="R51" s="68" t="n">
        <x:f>IFERROR(K51/I51,0)</x:f>
        <x:v>0.6153846153846154</x:v>
      </x:c>
      <x:c r="S51" s="60" t="n">
        <x:f>K51*L51</x:f>
        <x:v>51004.894661114486</x:v>
      </x:c>
      <x:c r="T51" s="60" t="n">
        <x:f>S51*H51</x:f>
        <x:v>10374.094832006105</x:v>
      </x:c>
      <x:c r="U51" s="60" t="n">
        <x:f>K51*G51</x:f>
        <x:v>19075.752459642586</x:v>
      </x:c>
      <x:c r="V51" s="60" t="n">
        <x:f>S51-T51-M51-N51-O51-P51-Q51-U51</x:f>
        <x:v>14087.027514366077</x:v>
      </x:c>
      <x:c r="W51" s="68" t="n">
        <x:f>IFERROR(V51/S51,0)</x:f>
        <x:v>0.27618971880959214</x:v>
      </x:c>
      <x:c r="X51" s="72" t="n">
        <x:f>IFERROR(S51/Q51,0)</x:f>
        <x:v>16.491918147025295</x:v>
      </x:c>
      <x:c r="Y51" s="30" t="str">
        <x:v>Моделируемые данные Unitmetra</x:v>
      </x:c>
    </x:row>
    <x:row r="52">
      <x:c r="A52" s="48" t="str">
        <x:v>2025-11</x:v>
      </x:c>
      <x:c r="B52" s="48" t="str">
        <x:v>UM-009</x:v>
      </x:c>
      <x:c r="C52" s="48" t="str">
        <x:v>Миди плиссе</x:v>
      </x:c>
      <x:c r="D52" s="48" t="str">
        <x:v>Платья</x:v>
      </x:c>
      <x:c r="E52" s="56" t="n">
        <x:v>4200</x:v>
      </x:c>
      <x:c r="F52" s="64" t="n">
        <x:v>0.27099859135246307</x:v>
      </x:c>
      <x:c r="G52" s="56" t="n">
        <x:v>1192.2345287276617</x:v>
      </x:c>
      <x:c r="H52" s="64" t="n">
        <x:v>0.2033941036626665</x:v>
      </x:c>
      <x:c r="I52" s="56" t="n">
        <x:v>37</x:v>
      </x:c>
      <x:c r="J52" s="56" t="n">
        <x:v>14</x:v>
      </x:c>
      <x:c r="K52" s="56" t="n">
        <x:v>23</x:v>
      </x:c>
      <x:c r="L52" s="56" t="n">
        <x:v>3061.805916319655</x:v>
      </x:c>
      <x:c r="M52" s="56" t="n">
        <x:v>3655.3053144987452</x:v>
      </x:c>
      <x:c r="N52" s="56" t="n">
        <x:v>1078.0678599163884</x:v>
      </x:c>
      <x:c r="O52" s="56" t="n">
        <x:v>415.87981511053266</x:v>
      </x:c>
      <x:c r="P52" s="56" t="n">
        <x:v>0</x:v>
      </x:c>
      <x:c r="Q52" s="56" t="n">
        <x:v>4133.8012500622635</x:v>
      </x:c>
      <x:c r="R52" s="68" t="n">
        <x:f>IFERROR(K52/I52,0)</x:f>
        <x:v>0.6216216216216216</x:v>
      </x:c>
      <x:c r="S52" s="60" t="n">
        <x:f>K52*L52</x:f>
        <x:v>70421.53607535207</x:v>
      </x:c>
      <x:c r="T52" s="60" t="n">
        <x:f>S52*H52</x:f>
        <x:v>14323.325208594366</x:v>
      </x:c>
      <x:c r="U52" s="60" t="n">
        <x:f>K52*G52</x:f>
        <x:v>27421.394160736218</x:v>
      </x:c>
      <x:c r="V52" s="60" t="n">
        <x:f>S52-T52-M52-N52-O52-P52-Q52-U52</x:f>
        <x:v>19393.762466433556</x:v>
      </x:c>
      <x:c r="W52" s="68" t="n">
        <x:f>IFERROR(V52/S52,0)</x:f>
        <x:v>0.2753953342580024</x:v>
      </x:c>
      <x:c r="X52" s="72" t="n">
        <x:f>IFERROR(S52/Q52,0)</x:f>
        <x:v>17.035539885787053</x:v>
      </x:c>
      <x:c r="Y52" s="30" t="str">
        <x:v>Моделируемые данные Unitmetra</x:v>
      </x:c>
    </x:row>
    <x:row r="53">
      <x:c r="A53" s="48" t="str">
        <x:v>2025-12</x:v>
      </x:c>
      <x:c r="B53" s="48" t="str">
        <x:v>UM-009</x:v>
      </x:c>
      <x:c r="C53" s="48" t="str">
        <x:v>Миди плиссе</x:v>
      </x:c>
      <x:c r="D53" s="48" t="str">
        <x:v>Платья</x:v>
      </x:c>
      <x:c r="E53" s="56" t="n">
        <x:v>4200</x:v>
      </x:c>
      <x:c r="F53" s="64" t="n">
        <x:v>0.290998591352463</x:v>
      </x:c>
      <x:c r="G53" s="56" t="n">
        <x:v>1192.2345287276617</x:v>
      </x:c>
      <x:c r="H53" s="64" t="n">
        <x:v>0.2033941036626665</x:v>
      </x:c>
      <x:c r="I53" s="56" t="n">
        <x:v>37</x:v>
      </x:c>
      <x:c r="J53" s="56" t="n">
        <x:v>16</x:v>
      </x:c>
      <x:c r="K53" s="56" t="n">
        <x:v>21</x:v>
      </x:c>
      <x:c r="L53" s="56" t="n">
        <x:v>2977.8059163196554</x:v>
      </x:c>
      <x:c r="M53" s="56" t="n">
        <x:v>3803.5020515894594</x:v>
      </x:c>
      <x:c r="N53" s="56" t="n">
        <x:v>930.2152464662921</x:v>
      </x:c>
      <x:c r="O53" s="56" t="n">
        <x:v>746.4250910202855</x:v>
      </x:c>
      <x:c r="P53" s="56" t="n">
        <x:v>269.1491101052596</x:v>
      </x:c>
      <x:c r="Q53" s="56" t="n">
        <x:v>3440.651684467255</x:v>
      </x:c>
      <x:c r="R53" s="68" t="n">
        <x:f>IFERROR(K53/I53,0)</x:f>
        <x:v>0.5675675675675675</x:v>
      </x:c>
      <x:c r="S53" s="60" t="n">
        <x:f>K53*L53</x:f>
        <x:v>62533.92424271276</x:v>
      </x:c>
      <x:c r="T53" s="60" t="n">
        <x:f>S53*H53</x:f>
        <x:v>12719.031469855652</x:v>
      </x:c>
      <x:c r="U53" s="60" t="n">
        <x:f>K53*G53</x:f>
        <x:v>25036.925103280893</x:v>
      </x:c>
      <x:c r="V53" s="60" t="n">
        <x:f>S53-T53-M53-N53-O53-P53-Q53-U53</x:f>
        <x:v>15588.02448592766</x:v>
      </x:c>
      <x:c r="W53" s="68" t="n">
        <x:f>IFERROR(V53/S53,0)</x:f>
        <x:v>0.24927308936227802</x:v>
      </x:c>
      <x:c r="X53" s="72" t="n">
        <x:f>IFERROR(S53/Q53,0)</x:f>
        <x:v>18.175023215811343</x:v>
      </x:c>
      <x:c r="Y53" s="30" t="str">
        <x:v>Моделируемые данные Unitmetra</x:v>
      </x:c>
    </x:row>
    <x:row r="54">
      <x:c r="A54" s="48" t="str">
        <x:v>2026-01</x:v>
      </x:c>
      <x:c r="B54" s="48" t="str">
        <x:v>UM-009</x:v>
      </x:c>
      <x:c r="C54" s="48" t="str">
        <x:v>Миди плиссе</x:v>
      </x:c>
      <x:c r="D54" s="48" t="str">
        <x:v>Платья</x:v>
      </x:c>
      <x:c r="E54" s="56" t="n">
        <x:v>4200</x:v>
      </x:c>
      <x:c r="F54" s="64" t="n">
        <x:v>0.26099859135246306</x:v>
      </x:c>
      <x:c r="G54" s="56" t="n">
        <x:v>1192.2345287276617</x:v>
      </x:c>
      <x:c r="H54" s="64" t="n">
        <x:v>0.2033941036626665</x:v>
      </x:c>
      <x:c r="I54" s="56" t="n">
        <x:v>22</x:v>
      </x:c>
      <x:c r="J54" s="56" t="n">
        <x:v>10</x:v>
      </x:c>
      <x:c r="K54" s="56" t="n">
        <x:v>12</x:v>
      </x:c>
      <x:c r="L54" s="56" t="n">
        <x:v>3103.8059163196554</x:v>
      </x:c>
      <x:c r="M54" s="56" t="n">
        <x:v>2091.887318712999</x:v>
      </x:c>
      <x:c r="N54" s="56" t="n">
        <x:v>765.793760107247</x:v>
      </x:c>
      <x:c r="O54" s="56" t="n">
        <x:v>358.81363532396284</x:v>
      </x:c>
      <x:c r="P54" s="56" t="n">
        <x:v>0</x:v>
      </x:c>
      <x:c r="Q54" s="56" t="n">
        <x:v>2145.318365410843</x:v>
      </x:c>
      <x:c r="R54" s="68" t="n">
        <x:f>IFERROR(K54/I54,0)</x:f>
        <x:v>0.5454545454545454</x:v>
      </x:c>
      <x:c r="S54" s="60" t="n">
        <x:f>K54*L54</x:f>
        <x:v>37245.67099583586</x:v>
      </x:c>
      <x:c r="T54" s="60" t="n">
        <x:f>S54*H54</x:f>
        <x:v>7575.54986751261</x:v>
      </x:c>
      <x:c r="U54" s="60" t="n">
        <x:f>K54*G54</x:f>
        <x:v>14306.81434473194</x:v>
      </x:c>
      <x:c r="V54" s="60" t="n">
        <x:f>S54-T54-M54-N54-O54-P54-Q54-U54</x:f>
        <x:v>10001.493704036258</x:v>
      </x:c>
      <x:c r="W54" s="68" t="n">
        <x:f>IFERROR(V54/S54,0)</x:f>
        <x:v>0.26852768218766804</x:v>
      </x:c>
      <x:c r="X54" s="72" t="n">
        <x:f>IFERROR(S54/Q54,0)</x:f>
        <x:v>17.361372370810365</x:v>
      </x:c>
      <x:c r="Y54" s="30" t="str">
        <x:v>Моделируемые данные Unitmetra</x:v>
      </x:c>
    </x:row>
    <x:row r="55">
      <x:c r="A55" s="48" t="str">
        <x:v>2026-02</x:v>
      </x:c>
      <x:c r="B55" s="48" t="str">
        <x:v>UM-009</x:v>
      </x:c>
      <x:c r="C55" s="48" t="str">
        <x:v>Миди плиссе</x:v>
      </x:c>
      <x:c r="D55" s="48" t="str">
        <x:v>Платья</x:v>
      </x:c>
      <x:c r="E55" s="56" t="n">
        <x:v>4200</x:v>
      </x:c>
      <x:c r="F55" s="64" t="n">
        <x:v>0.24099859135246304</x:v>
      </x:c>
      <x:c r="G55" s="56" t="n">
        <x:v>1192.2345287276617</x:v>
      </x:c>
      <x:c r="H55" s="64" t="n">
        <x:v>0.2033941036626665</x:v>
      </x:c>
      <x:c r="I55" s="56" t="n">
        <x:v>29</x:v>
      </x:c>
      <x:c r="J55" s="56" t="n">
        <x:v>11</x:v>
      </x:c>
      <x:c r="K55" s="56" t="n">
        <x:v>18</x:v>
      </x:c>
      <x:c r="L55" s="56" t="n">
        <x:v>3187.8059163196554</x:v>
      </x:c>
      <x:c r="M55" s="56" t="n">
        <x:v>3018.058716806542</x:v>
      </x:c>
      <x:c r="N55" s="56" t="n">
        <x:v>913.6758519569433</x:v>
      </x:c>
      <x:c r="O55" s="56" t="n">
        <x:v>304.9889640492814</x:v>
      </x:c>
      <x:c r="P55" s="56" t="n">
        <x:v>0</x:v>
      </x:c>
      <x:c r="Q55" s="56" t="n">
        <x:v>3100.33012953714</x:v>
      </x:c>
      <x:c r="R55" s="68" t="n">
        <x:f>IFERROR(K55/I55,0)</x:f>
        <x:v>0.6206896551724138</x:v>
      </x:c>
      <x:c r="S55" s="60" t="n">
        <x:f>K55*L55</x:f>
        <x:v>57380.5064937538</x:v>
      </x:c>
      <x:c r="T55" s="60" t="n">
        <x:f>S55*H55</x:f>
        <x:v>11670.856686006868</x:v>
      </x:c>
      <x:c r="U55" s="60" t="n">
        <x:f>K55*G55</x:f>
        <x:v>21460.22151709791</x:v>
      </x:c>
      <x:c r="V55" s="60" t="n">
        <x:f>S55-T55-M55-N55-O55-P55-Q55-U55</x:f>
        <x:v>16912.374628299112</x:v>
      </x:c>
      <x:c r="W55" s="68" t="n">
        <x:f>IFERROR(V55/S55,0)</x:f>
        <x:v>0.2947407693262541</x:v>
      </x:c>
      <x:c r="X55" s="72" t="n">
        <x:f>IFERROR(S55/Q55,0)</x:f>
        <x:v>18.50786983846793</x:v>
      </x:c>
      <x:c r="Y55" s="30" t="str">
        <x:v>Моделируемые данные Unitmetra</x:v>
      </x:c>
    </x:row>
    <x:row r="56">
      <x:c r="A56" s="48" t="str">
        <x:v>2025-09</x:v>
      </x:c>
      <x:c r="B56" s="48" t="str">
        <x:v>UM-010</x:v>
      </x:c>
      <x:c r="C56" s="48" t="str">
        <x:v>Платье с рукавом</x:v>
      </x:c>
      <x:c r="D56" s="48" t="str">
        <x:v>Платья</x:v>
      </x:c>
      <x:c r="E56" s="56" t="n">
        <x:v>5300</x:v>
      </x:c>
      <x:c r="F56" s="64" t="n">
        <x:v>0.24155493120009464</x:v>
      </x:c>
      <x:c r="G56" s="56" t="n">
        <x:v>1783.0764988184856</x:v>
      </x:c>
      <x:c r="H56" s="64" t="n">
        <x:v>0.19063825343219143</x:v>
      </x:c>
      <x:c r="I56" s="56" t="n">
        <x:v>32</x:v>
      </x:c>
      <x:c r="J56" s="56" t="n">
        <x:v>15</x:v>
      </x:c>
      <x:c r="K56" s="56" t="n">
        <x:v>17</x:v>
      </x:c>
      <x:c r="L56" s="56" t="n">
        <x:v>4019.7588646394984</x:v>
      </x:c>
      <x:c r="M56" s="56" t="n">
        <x:v>3436.239453943907</x:v>
      </x:c>
      <x:c r="N56" s="56" t="n">
        <x:v>977.7649893940062</x:v>
      </x:c>
      <x:c r="O56" s="56" t="n">
        <x:v>339.4601945969859</x:v>
      </x:c>
      <x:c r="P56" s="56" t="n">
        <x:v>0</x:v>
      </x:c>
      <x:c r="Q56" s="56" t="n">
        <x:v>5275.681693308547</x:v>
      </x:c>
      <x:c r="R56" s="68" t="n">
        <x:f>IFERROR(K56/I56,0)</x:f>
        <x:v>0.53125</x:v>
      </x:c>
      <x:c r="S56" s="60" t="n">
        <x:f>K56*L56</x:f>
        <x:v>68335.90069887147</x:v>
      </x:c>
      <x:c r="T56" s="60" t="n">
        <x:f>S56*H56</x:f>
        <x:v>13027.436755948527</x:v>
      </x:c>
      <x:c r="U56" s="60" t="n">
        <x:f>K56*G56</x:f>
        <x:v>30312.300479914255</x:v>
      </x:c>
      <x:c r="V56" s="60" t="n">
        <x:f>S56-T56-M56-N56-O56-P56-Q56-U56</x:f>
        <x:v>14967.017131765246</x:v>
      </x:c>
      <x:c r="W56" s="68" t="n">
        <x:f>IFERROR(V56/S56,0)</x:f>
        <x:v>0.2190212901080913</x:v>
      </x:c>
      <x:c r="X56" s="72" t="n">
        <x:f>IFERROR(S56/Q56,0)</x:f>
        <x:v>12.95299918976269</x:v>
      </x:c>
      <x:c r="Y56" s="30" t="str">
        <x:v>Моделируемые данные Unitmetra</x:v>
      </x:c>
    </x:row>
    <x:row r="57">
      <x:c r="A57" s="48" t="str">
        <x:v>2025-10</x:v>
      </x:c>
      <x:c r="B57" s="48" t="str">
        <x:v>UM-010</x:v>
      </x:c>
      <x:c r="C57" s="48" t="str">
        <x:v>Платье с рукавом</x:v>
      </x:c>
      <x:c r="D57" s="48" t="str">
        <x:v>Платья</x:v>
      </x:c>
      <x:c r="E57" s="56" t="n">
        <x:v>5300</x:v>
      </x:c>
      <x:c r="F57" s="64" t="n">
        <x:v>0.25155493120009464</x:v>
      </x:c>
      <x:c r="G57" s="56" t="n">
        <x:v>1783.0764988184856</x:v>
      </x:c>
      <x:c r="H57" s="64" t="n">
        <x:v>0.19063825343219143</x:v>
      </x:c>
      <x:c r="I57" s="56" t="n">
        <x:v>37</x:v>
      </x:c>
      <x:c r="J57" s="56" t="n">
        <x:v>16</x:v>
      </x:c>
      <x:c r="K57" s="56" t="n">
        <x:v>21</x:v>
      </x:c>
      <x:c r="L57" s="56" t="n">
        <x:v>3966.7588646394984</x:v>
      </x:c>
      <x:c r="M57" s="56" t="n">
        <x:v>3259.090390435307</x:v>
      </x:c>
      <x:c r="N57" s="56" t="n">
        <x:v>969.1677447381219</x:v>
      </x:c>
      <x:c r="O57" s="56" t="n">
        <x:v>502.2902288372671</x:v>
      </x:c>
      <x:c r="P57" s="56" t="n">
        <x:v>20.362662210124014</x:v>
      </x:c>
      <x:c r="Q57" s="56" t="n">
        <x:v>5626.258552065486</x:v>
      </x:c>
      <x:c r="R57" s="68" t="n">
        <x:f>IFERROR(K57/I57,0)</x:f>
        <x:v>0.5675675675675675</x:v>
      </x:c>
      <x:c r="S57" s="60" t="n">
        <x:f>K57*L57</x:f>
        <x:v>83301.93615742946</x:v>
      </x:c>
      <x:c r="T57" s="60" t="n">
        <x:f>S57*H57</x:f>
        <x:v>15880.535616572268</x:v>
      </x:c>
      <x:c r="U57" s="60" t="n">
        <x:f>K57*G57</x:f>
        <x:v>37444.60647518819</x:v>
      </x:c>
      <x:c r="V57" s="60" t="n">
        <x:f>S57-T57-M57-N57-O57-P57-Q57-U57</x:f>
        <x:v>19599.62448738271</x:v>
      </x:c>
      <x:c r="W57" s="68" t="n">
        <x:f>IFERROR(V57/S57,0)</x:f>
        <x:v>0.23528414093931807</x:v>
      </x:c>
      <x:c r="X57" s="72" t="n">
        <x:f>IFERROR(S57/Q57,0)</x:f>
        <x:v>14.805920379689633</x:v>
      </x:c>
      <x:c r="Y57" s="30" t="str">
        <x:v>Моделируемые данные Unitmetra</x:v>
      </x:c>
    </x:row>
    <x:row r="58">
      <x:c r="A58" s="48" t="str">
        <x:v>2025-11</x:v>
      </x:c>
      <x:c r="B58" s="48" t="str">
        <x:v>UM-010</x:v>
      </x:c>
      <x:c r="C58" s="48" t="str">
        <x:v>Платье с рукавом</x:v>
      </x:c>
      <x:c r="D58" s="48" t="str">
        <x:v>Платья</x:v>
      </x:c>
      <x:c r="E58" s="56" t="n">
        <x:v>5300</x:v>
      </x:c>
      <x:c r="F58" s="64" t="n">
        <x:v>0.28155493120009467</x:v>
      </x:c>
      <x:c r="G58" s="56" t="n">
        <x:v>1783.0764988184856</x:v>
      </x:c>
      <x:c r="H58" s="64" t="n">
        <x:v>0.19063825343219143</x:v>
      </x:c>
      <x:c r="I58" s="56" t="n">
        <x:v>50</x:v>
      </x:c>
      <x:c r="J58" s="56" t="n">
        <x:v>21</x:v>
      </x:c>
      <x:c r="K58" s="56" t="n">
        <x:v>29</x:v>
      </x:c>
      <x:c r="L58" s="56" t="n">
        <x:v>3807.7588646394984</x:v>
      </x:c>
      <x:c r="M58" s="56" t="n">
        <x:v>4221.384148059232</x:v>
      </x:c>
      <x:c r="N58" s="56" t="n">
        <x:v>1314.03486304624</x:v>
      </x:c>
      <x:c r="O58" s="56" t="n">
        <x:v>1008.2091549167338</x:v>
      </x:c>
      <x:c r="P58" s="56" t="n">
        <x:v>0</x:v>
      </x:c>
      <x:c r="Q58" s="56" t="n">
        <x:v>7642.99370741997</x:v>
      </x:c>
      <x:c r="R58" s="68" t="n">
        <x:f>IFERROR(K58/I58,0)</x:f>
        <x:v>0.58</x:v>
      </x:c>
      <x:c r="S58" s="60" t="n">
        <x:f>K58*L58</x:f>
        <x:v>110425.00707454546</x:v>
      </x:c>
      <x:c r="T58" s="60" t="n">
        <x:f>S58*H58</x:f>
        <x:v>21051.230483928728</x:v>
      </x:c>
      <x:c r="U58" s="60" t="n">
        <x:f>K58*G58</x:f>
        <x:v>51709.21846573608</x:v>
      </x:c>
      <x:c r="V58" s="60" t="n">
        <x:f>S58-T58-M58-N58-O58-P58-Q58-U58</x:f>
        <x:v>23477.93625143847</x:v>
      </x:c>
      <x:c r="W58" s="68" t="n">
        <x:f>IFERROR(V58/S58,0)</x:f>
        <x:v>0.21261430606555487</x:v>
      </x:c>
      <x:c r="X58" s="72" t="n">
        <x:f>IFERROR(S58/Q58,0)</x:f>
        <x:v>14.44787360839283</x:v>
      </x:c>
      <x:c r="Y58" s="30" t="str">
        <x:v>Моделируемые данные Unitmetra</x:v>
      </x:c>
    </x:row>
    <x:row r="59">
      <x:c r="A59" s="48" t="str">
        <x:v>2025-12</x:v>
      </x:c>
      <x:c r="B59" s="48" t="str">
        <x:v>UM-010</x:v>
      </x:c>
      <x:c r="C59" s="48" t="str">
        <x:v>Платье с рукавом</x:v>
      </x:c>
      <x:c r="D59" s="48" t="str">
        <x:v>Платья</x:v>
      </x:c>
      <x:c r="E59" s="56" t="n">
        <x:v>5300</x:v>
      </x:c>
      <x:c r="F59" s="64" t="n">
        <x:v>0.3015549312000946</x:v>
      </x:c>
      <x:c r="G59" s="56" t="n">
        <x:v>1783.0764988184856</x:v>
      </x:c>
      <x:c r="H59" s="64" t="n">
        <x:v>0.19063825343219143</x:v>
      </x:c>
      <x:c r="I59" s="56" t="n">
        <x:v>68</x:v>
      </x:c>
      <x:c r="J59" s="56" t="n">
        <x:v>31</x:v>
      </x:c>
      <x:c r="K59" s="56" t="n">
        <x:v>37</x:v>
      </x:c>
      <x:c r="L59" s="56" t="n">
        <x:v>3701.758864639499</x:v>
      </x:c>
      <x:c r="M59" s="56" t="n">
        <x:v>8032.15764112891</x:v>
      </x:c>
      <x:c r="N59" s="56" t="n">
        <x:v>1771.7945906676825</x:v>
      </x:c>
      <x:c r="O59" s="56" t="n">
        <x:v>546.234196689022</x:v>
      </x:c>
      <x:c r="P59" s="56" t="n">
        <x:v>4.622352085790431</x:v>
      </x:c>
      <x:c r="Q59" s="56" t="n">
        <x:v>10108.473830882956</x:v>
      </x:c>
      <x:c r="R59" s="68" t="n">
        <x:f>IFERROR(K59/I59,0)</x:f>
        <x:v>0.5441176470588235</x:v>
      </x:c>
      <x:c r="S59" s="60" t="n">
        <x:f>K59*L59</x:f>
        <x:v>136965.07799166147</x:v>
      </x:c>
      <x:c r="T59" s="60" t="n">
        <x:f>S59*H59</x:f>
        <x:v>26110.783249534223</x:v>
      </x:c>
      <x:c r="U59" s="60" t="n">
        <x:f>K59*G59</x:f>
        <x:v>65973.83045628396</x:v>
      </x:c>
      <x:c r="V59" s="60" t="n">
        <x:f>S59-T59-M59-N59-O59-P59-Q59-U59</x:f>
        <x:v>24417.18167438892</x:v>
      </x:c>
      <x:c r="W59" s="68" t="n">
        <x:f>IFERROR(V59/S59,0)</x:f>
        <x:v>0.17827304618389994</x:v>
      </x:c>
      <x:c r="X59" s="72" t="n">
        <x:f>IFERROR(S59/Q59,0)</x:f>
        <x:v>13.549530847397744</x:v>
      </x:c>
      <x:c r="Y59" s="30" t="str">
        <x:v>Моделируемые данные Unitmetra</x:v>
      </x:c>
    </x:row>
    <x:row r="60">
      <x:c r="A60" s="48" t="str">
        <x:v>2026-01</x:v>
      </x:c>
      <x:c r="B60" s="48" t="str">
        <x:v>UM-010</x:v>
      </x:c>
      <x:c r="C60" s="48" t="str">
        <x:v>Платье с рукавом</x:v>
      </x:c>
      <x:c r="D60" s="48" t="str">
        <x:v>Платья</x:v>
      </x:c>
      <x:c r="E60" s="56" t="n">
        <x:v>5300</x:v>
      </x:c>
      <x:c r="F60" s="64" t="n">
        <x:v>0.27155493120009466</x:v>
      </x:c>
      <x:c r="G60" s="56" t="n">
        <x:v>1783.0764988184856</x:v>
      </x:c>
      <x:c r="H60" s="64" t="n">
        <x:v>0.19063825343219143</x:v>
      </x:c>
      <x:c r="I60" s="56" t="n">
        <x:v>30</x:v>
      </x:c>
      <x:c r="J60" s="56" t="n">
        <x:v>14</x:v>
      </x:c>
      <x:c r="K60" s="56" t="n">
        <x:v>16</x:v>
      </x:c>
      <x:c r="L60" s="56" t="n">
        <x:v>3860.7588646394984</x:v>
      </x:c>
      <x:c r="M60" s="56" t="n">
        <x:v>2703.906569280237</x:v>
      </x:c>
      <x:c r="N60" s="56" t="n">
        <x:v>837.3310504925485</x:v>
      </x:c>
      <x:c r="O60" s="56" t="n">
        <x:v>804.1144262959086</x:v>
      </x:c>
      <x:c r="P60" s="56" t="n">
        <x:v>0</x:v>
      </x:c>
      <x:c r="Q60" s="56" t="n">
        <x:v>4981.744090381542</x:v>
      </x:c>
      <x:c r="R60" s="68" t="n">
        <x:f>IFERROR(K60/I60,0)</x:f>
        <x:v>0.5333333333333333</x:v>
      </x:c>
      <x:c r="S60" s="60" t="n">
        <x:f>K60*L60</x:f>
        <x:v>61772.141834231974</x:v>
      </x:c>
      <x:c r="T60" s="60" t="n">
        <x:f>S60*H60</x:f>
        <x:v>11776.13323004359</x:v>
      </x:c>
      <x:c r="U60" s="60" t="n">
        <x:f>K60*G60</x:f>
        <x:v>28529.22398109577</x:v>
      </x:c>
      <x:c r="V60" s="60" t="n">
        <x:f>S60-T60-M60-N60-O60-P60-Q60-U60</x:f>
        <x:v>12139.688486642379</x:v>
      </x:c>
      <x:c r="W60" s="68" t="n">
        <x:f>IFERROR(V60/S60,0)</x:f>
        <x:v>0.19652367760243317</x:v>
      </x:c>
      <x:c r="X60" s="72" t="n">
        <x:f>IFERROR(S60/Q60,0)</x:f>
        <x:v>12.399701934408471</x:v>
      </x:c>
      <x:c r="Y60" s="30" t="str">
        <x:v>Моделируемые данные Unitmetra</x:v>
      </x:c>
    </x:row>
    <x:row r="61">
      <x:c r="A61" s="48" t="str">
        <x:v>2026-02</x:v>
      </x:c>
      <x:c r="B61" s="48" t="str">
        <x:v>UM-010</x:v>
      </x:c>
      <x:c r="C61" s="48" t="str">
        <x:v>Платье с рукавом</x:v>
      </x:c>
      <x:c r="D61" s="48" t="str">
        <x:v>Платья</x:v>
      </x:c>
      <x:c r="E61" s="56" t="n">
        <x:v>5300</x:v>
      </x:c>
      <x:c r="F61" s="64" t="n">
        <x:v>0.25155493120009464</x:v>
      </x:c>
      <x:c r="G61" s="56" t="n">
        <x:v>1783.0764988184856</x:v>
      </x:c>
      <x:c r="H61" s="64" t="n">
        <x:v>0.19063825343219143</x:v>
      </x:c>
      <x:c r="I61" s="56" t="n">
        <x:v>33</x:v>
      </x:c>
      <x:c r="J61" s="56" t="n">
        <x:v>16</x:v>
      </x:c>
      <x:c r="K61" s="56" t="n">
        <x:v>17</x:v>
      </x:c>
      <x:c r="L61" s="56" t="n">
        <x:v>3966.7588646394984</x:v>
      </x:c>
      <x:c r="M61" s="56" t="n">
        <x:v>3643.219762702126</x:v>
      </x:c>
      <x:c r="N61" s="56" t="n">
        <x:v>1250.7294340837927</x:v>
      </x:c>
      <x:c r="O61" s="56" t="n">
        <x:v>623.418598398489</x:v>
      </x:c>
      <x:c r="P61" s="56" t="n">
        <x:v>0</x:v>
      </x:c>
      <x:c r="Q61" s="56" t="n">
        <x:v>5765.517332142506</x:v>
      </x:c>
      <x:c r="R61" s="68" t="n">
        <x:f>IFERROR(K61/I61,0)</x:f>
        <x:v>0.5151515151515151</x:v>
      </x:c>
      <x:c r="S61" s="60" t="n">
        <x:f>K61*L61</x:f>
        <x:v>67434.90069887147</x:v>
      </x:c>
      <x:c r="T61" s="60" t="n">
        <x:f>S61*H61</x:f>
        <x:v>12855.671689606123</x:v>
      </x:c>
      <x:c r="U61" s="60" t="n">
        <x:f>K61*G61</x:f>
        <x:v>30312.300479914255</x:v>
      </x:c>
      <x:c r="V61" s="60" t="n">
        <x:f>S61-T61-M61-N61-O61-P61-Q61-U61</x:f>
        <x:v>12984.043402024177</x:v>
      </x:c>
      <x:c r="W61" s="68" t="n">
        <x:f>IFERROR(V61/S61,0)</x:f>
        <x:v>0.19254189251355222</x:v>
      </x:c>
      <x:c r="X61" s="72" t="n">
        <x:f>IFERROR(S61/Q61,0)</x:f>
        <x:v>11.696244554313427</x:v>
      </x:c>
      <x:c r="Y61" s="30" t="str">
        <x:v>Моделируемые данные Unitmetra</x:v>
      </x:c>
    </x:row>
    <x:row r="62">
      <x:c r="A62" s="48" t="str">
        <x:v>2025-09</x:v>
      </x:c>
      <x:c r="B62" s="48" t="str">
        <x:v>UM-011</x:v>
      </x:c>
      <x:c r="C62" s="48" t="str">
        <x:v>Брючный классик</x:v>
      </x:c>
      <x:c r="D62" s="48" t="str">
        <x:v>Костюмы</x:v>
      </x:c>
      <x:c r="E62" s="56" t="n">
        <x:v>4800</x:v>
      </x:c>
      <x:c r="F62" s="64" t="n">
        <x:v>0.20536458299594185</x:v>
      </x:c>
      <x:c r="G62" s="56" t="n">
        <x:v>1787.560170202464</x:v>
      </x:c>
      <x:c r="H62" s="64" t="n">
        <x:v>0.1820405959591173</x:v>
      </x:c>
      <x:c r="I62" s="56" t="n">
        <x:v>24</x:v>
      </x:c>
      <x:c r="J62" s="56" t="n">
        <x:v>11</x:v>
      </x:c>
      <x:c r="K62" s="56" t="n">
        <x:v>13</x:v>
      </x:c>
      <x:c r="L62" s="56" t="n">
        <x:v>3814.250001619479</x:v>
      </x:c>
      <x:c r="M62" s="56" t="n">
        <x:v>2732.619394625239</x:v>
      </x:c>
      <x:c r="N62" s="56" t="n">
        <x:v>664.2323838742088</x:v>
      </x:c>
      <x:c r="O62" s="56" t="n">
        <x:v>349.1231331017709</x:v>
      </x:c>
      <x:c r="P62" s="56" t="n">
        <x:v>0</x:v>
      </x:c>
      <x:c r="Q62" s="56" t="n">
        <x:v>3281.9944029878557</x:v>
      </x:c>
      <x:c r="R62" s="68" t="n">
        <x:f>IFERROR(K62/I62,0)</x:f>
        <x:v>0.5416666666666666</x:v>
      </x:c>
      <x:c r="S62" s="60" t="n">
        <x:f>K62*L62</x:f>
        <x:v>49585.25002105323</x:v>
      </x:c>
      <x:c r="T62" s="60" t="n">
        <x:f>S62*H62</x:f>
        <x:v>9026.528464614365</x:v>
      </x:c>
      <x:c r="U62" s="60" t="n">
        <x:f>K62*G62</x:f>
        <x:v>23238.28221263203</x:v>
      </x:c>
      <x:c r="V62" s="60" t="n">
        <x:f>S62-T62-M62-N62-O62-P62-Q62-U62</x:f>
        <x:v>10292.470029217766</x:v>
      </x:c>
      <x:c r="W62" s="68" t="n">
        <x:f>IFERROR(V62/S62,0)</x:f>
        <x:v>0.20757120363107417</x:v>
      </x:c>
      <x:c r="X62" s="72" t="n">
        <x:f>IFERROR(S62/Q62,0)</x:f>
        <x:v>15.108267697200187</x:v>
      </x:c>
      <x:c r="Y62" s="30" t="str">
        <x:v>Моделируемые данные Unitmetra</x:v>
      </x:c>
    </x:row>
    <x:row r="63">
      <x:c r="A63" s="48" t="str">
        <x:v>2025-10</x:v>
      </x:c>
      <x:c r="B63" s="48" t="str">
        <x:v>UM-011</x:v>
      </x:c>
      <x:c r="C63" s="48" t="str">
        <x:v>Брючный классик</x:v>
      </x:c>
      <x:c r="D63" s="48" t="str">
        <x:v>Костюмы</x:v>
      </x:c>
      <x:c r="E63" s="56" t="n">
        <x:v>4800</x:v>
      </x:c>
      <x:c r="F63" s="64" t="n">
        <x:v>0.21536458299594186</x:v>
      </x:c>
      <x:c r="G63" s="56" t="n">
        <x:v>1787.560170202464</x:v>
      </x:c>
      <x:c r="H63" s="64" t="n">
        <x:v>0.1820405959591173</x:v>
      </x:c>
      <x:c r="I63" s="56" t="n">
        <x:v>32</x:v>
      </x:c>
      <x:c r="J63" s="56" t="n">
        <x:v>15</x:v>
      </x:c>
      <x:c r="K63" s="56" t="n">
        <x:v>17</x:v>
      </x:c>
      <x:c r="L63" s="56" t="n">
        <x:v>3766.250001619479</x:v>
      </x:c>
      <x:c r="M63" s="56" t="n">
        <x:v>3239.4885046884024</x:v>
      </x:c>
      <x:c r="N63" s="56" t="n">
        <x:v>936.7828817395432</x:v>
      </x:c>
      <x:c r="O63" s="56" t="n">
        <x:v>426.7608079464161</x:v>
      </x:c>
      <x:c r="P63" s="56" t="n">
        <x:v>0</x:v>
      </x:c>
      <x:c r="Q63" s="56" t="n">
        <x:v>2925.2594581087365</x:v>
      </x:c>
      <x:c r="R63" s="68" t="n">
        <x:f>IFERROR(K63/I63,0)</x:f>
        <x:v>0.53125</x:v>
      </x:c>
      <x:c r="S63" s="60" t="n">
        <x:f>K63*L63</x:f>
        <x:v>64026.25002753115</x:v>
      </x:c>
      <x:c r="T63" s="60" t="n">
        <x:f>S63*H63</x:f>
        <x:v>11655.37671203922</x:v>
      </x:c>
      <x:c r="U63" s="60" t="n">
        <x:f>K63*G63</x:f>
        <x:v>30388.52289344189</x:v>
      </x:c>
      <x:c r="V63" s="60" t="n">
        <x:f>S63-T63-M63-N63-O63-P63-Q63-U63</x:f>
        <x:v>14454.058769566935</x:v>
      </x:c>
      <x:c r="W63" s="68" t="n">
        <x:f>IFERROR(V63/S63,0)</x:f>
        <x:v>0.22575207455304225</x:v>
      </x:c>
      <x:c r="X63" s="72" t="n">
        <x:f>IFERROR(S63/Q63,0)</x:f>
        <x:v>21.887374759203734</x:v>
      </x:c>
      <x:c r="Y63" s="30" t="str">
        <x:v>Моделируемые данные Unitmetra</x:v>
      </x:c>
    </x:row>
    <x:row r="64">
      <x:c r="A64" s="48" t="str">
        <x:v>2025-11</x:v>
      </x:c>
      <x:c r="B64" s="48" t="str">
        <x:v>UM-011</x:v>
      </x:c>
      <x:c r="C64" s="48" t="str">
        <x:v>Брючный классик</x:v>
      </x:c>
      <x:c r="D64" s="48" t="str">
        <x:v>Костюмы</x:v>
      </x:c>
      <x:c r="E64" s="56" t="n">
        <x:v>4800</x:v>
      </x:c>
      <x:c r="F64" s="64" t="n">
        <x:v>0.24536458299594188</x:v>
      </x:c>
      <x:c r="G64" s="56" t="n">
        <x:v>1787.560170202464</x:v>
      </x:c>
      <x:c r="H64" s="64" t="n">
        <x:v>0.1820405959591173</x:v>
      </x:c>
      <x:c r="I64" s="56" t="n">
        <x:v>35</x:v>
      </x:c>
      <x:c r="J64" s="56" t="n">
        <x:v>15</x:v>
      </x:c>
      <x:c r="K64" s="56" t="n">
        <x:v>20</x:v>
      </x:c>
      <x:c r="L64" s="56" t="n">
        <x:v>3622.250001619479</x:v>
      </x:c>
      <x:c r="M64" s="56" t="n">
        <x:v>3486.8510817166207</x:v>
      </x:c>
      <x:c r="N64" s="56" t="n">
        <x:v>1063.3855497821241</x:v>
      </x:c>
      <x:c r="O64" s="56" t="n">
        <x:v>306.8295350485719</x:v>
      </x:c>
      <x:c r="P64" s="56" t="n">
        <x:v>121.9155112014252</x:v>
      </x:c>
      <x:c r="Q64" s="56" t="n">
        <x:v>4805.983648802765</x:v>
      </x:c>
      <x:c r="R64" s="68" t="n">
        <x:f>IFERROR(K64/I64,0)</x:f>
        <x:v>0.5714285714285714</x:v>
      </x:c>
      <x:c r="S64" s="60" t="n">
        <x:f>K64*L64</x:f>
        <x:v>72445.00003238958</x:v>
      </x:c>
      <x:c r="T64" s="60" t="n">
        <x:f>S64*H64</x:f>
        <x:v>13187.930980154471</x:v>
      </x:c>
      <x:c r="U64" s="60" t="n">
        <x:f>K64*G64</x:f>
        <x:v>35751.20340404928</x:v>
      </x:c>
      <x:c r="V64" s="60" t="n">
        <x:f>S64-T64-M64-N64-O64-P64-Q64-U64</x:f>
        <x:v>13720.900321634319</x:v>
      </x:c>
      <x:c r="W64" s="68" t="n">
        <x:f>IFERROR(V64/S64,0)</x:f>
        <x:v>0.18939747830077733</x:v>
      </x:c>
      <x:c r="X64" s="72" t="n">
        <x:f>IFERROR(S64/Q64,0)</x:f>
        <x:v>15.073917292755793</x:v>
      </x:c>
      <x:c r="Y64" s="30" t="str">
        <x:v>Моделируемые данные Unitmetra</x:v>
      </x:c>
    </x:row>
    <x:row r="65">
      <x:c r="A65" s="48" t="str">
        <x:v>2025-12</x:v>
      </x:c>
      <x:c r="B65" s="48" t="str">
        <x:v>UM-011</x:v>
      </x:c>
      <x:c r="C65" s="48" t="str">
        <x:v>Брючный классик</x:v>
      </x:c>
      <x:c r="D65" s="48" t="str">
        <x:v>Костюмы</x:v>
      </x:c>
      <x:c r="E65" s="56" t="n">
        <x:v>4800</x:v>
      </x:c>
      <x:c r="F65" s="64" t="n">
        <x:v>0.2653645829959418</x:v>
      </x:c>
      <x:c r="G65" s="56" t="n">
        <x:v>1787.560170202464</x:v>
      </x:c>
      <x:c r="H65" s="64" t="n">
        <x:v>0.1820405959591173</x:v>
      </x:c>
      <x:c r="I65" s="56" t="n">
        <x:v>46</x:v>
      </x:c>
      <x:c r="J65" s="56" t="n">
        <x:v>22</x:v>
      </x:c>
      <x:c r="K65" s="56" t="n">
        <x:v>24</x:v>
      </x:c>
      <x:c r="L65" s="56" t="n">
        <x:v>3526.2500016194795</x:v>
      </x:c>
      <x:c r="M65" s="56" t="n">
        <x:v>4700.126455753478</x:v>
      </x:c>
      <x:c r="N65" s="56" t="n">
        <x:v>1347.0933872120158</x:v>
      </x:c>
      <x:c r="O65" s="56" t="n">
        <x:v>188.31116006632078</x:v>
      </x:c>
      <x:c r="P65" s="56" t="n">
        <x:v>0</x:v>
      </x:c>
      <x:c r="Q65" s="56" t="n">
        <x:v>5232.227307194933</x:v>
      </x:c>
      <x:c r="R65" s="68" t="n">
        <x:f>IFERROR(K65/I65,0)</x:f>
        <x:v>0.5217391304347826</x:v>
      </x:c>
      <x:c r="S65" s="60" t="n">
        <x:f>K65*L65</x:f>
        <x:v>84630.00003886751</x:v>
      </x:c>
      <x:c r="T65" s="60" t="n">
        <x:f>S65*H65</x:f>
        <x:v>15406.095643095563</x:v>
      </x:c>
      <x:c r="U65" s="60" t="n">
        <x:f>K65*G65</x:f>
        <x:v>42901.44408485913</x:v>
      </x:c>
      <x:c r="V65" s="60" t="n">
        <x:f>S65-T65-M65-N65-O65-P65-Q65-U65</x:f>
        <x:v>14854.70200068607</x:v>
      </x:c>
      <x:c r="W65" s="68" t="n">
        <x:f>IFERROR(V65/S65,0)</x:f>
        <x:v>0.1755252510204873</x:v>
      </x:c>
      <x:c r="X65" s="72" t="n">
        <x:f>IFERROR(S65/Q65,0)</x:f>
        <x:v>16.174756001615453</x:v>
      </x:c>
      <x:c r="Y65" s="30" t="str">
        <x:v>Моделируемые данные Unitmetra</x:v>
      </x:c>
    </x:row>
    <x:row r="66">
      <x:c r="A66" s="48" t="str">
        <x:v>2026-01</x:v>
      </x:c>
      <x:c r="B66" s="48" t="str">
        <x:v>UM-011</x:v>
      </x:c>
      <x:c r="C66" s="48" t="str">
        <x:v>Брючный классик</x:v>
      </x:c>
      <x:c r="D66" s="48" t="str">
        <x:v>Костюмы</x:v>
      </x:c>
      <x:c r="E66" s="56" t="n">
        <x:v>4800</x:v>
      </x:c>
      <x:c r="F66" s="64" t="n">
        <x:v>0.23536458299594187</x:v>
      </x:c>
      <x:c r="G66" s="56" t="n">
        <x:v>1787.560170202464</x:v>
      </x:c>
      <x:c r="H66" s="64" t="n">
        <x:v>0.1820405959591173</x:v>
      </x:c>
      <x:c r="I66" s="56" t="n">
        <x:v>24</x:v>
      </x:c>
      <x:c r="J66" s="56" t="n">
        <x:v>11</x:v>
      </x:c>
      <x:c r="K66" s="56" t="n">
        <x:v>13</x:v>
      </x:c>
      <x:c r="L66" s="56" t="n">
        <x:v>3670.250001619479</x:v>
      </x:c>
      <x:c r="M66" s="56" t="n">
        <x:v>2366.413566709702</x:v>
      </x:c>
      <x:c r="N66" s="56" t="n">
        <x:v>737.1489109309418</x:v>
      </x:c>
      <x:c r="O66" s="56" t="n">
        <x:v>452.96810704171213</x:v>
      </x:c>
      <x:c r="P66" s="56" t="n">
        <x:v>0</x:v>
      </x:c>
      <x:c r="Q66" s="56" t="n">
        <x:v>2834.8512891177597</x:v>
      </x:c>
      <x:c r="R66" s="68" t="n">
        <x:f>IFERROR(K66/I66,0)</x:f>
        <x:v>0.5416666666666666</x:v>
      </x:c>
      <x:c r="S66" s="60" t="n">
        <x:f>K66*L66</x:f>
        <x:v>47713.25002105323</x:v>
      </x:c>
      <x:c r="T66" s="60" t="n">
        <x:f>S66*H66</x:f>
        <x:v>8685.748468978896</x:v>
      </x:c>
      <x:c r="U66" s="60" t="n">
        <x:f>K66*G66</x:f>
        <x:v>23238.28221263203</x:v>
      </x:c>
      <x:c r="V66" s="60" t="n">
        <x:f>S66-T66-M66-N66-O66-P66-Q66-U66</x:f>
        <x:v>9397.837465642187</x:v>
      </x:c>
      <x:c r="W66" s="68" t="n">
        <x:f>IFERROR(V66/S66,0)</x:f>
        <x:v>0.19696494079727203</x:v>
      </x:c>
      <x:c r="X66" s="72" t="n">
        <x:f>IFERROR(S66/Q66,0)</x:f>
        <x:v>16.830953427508422</x:v>
      </x:c>
      <x:c r="Y66" s="30" t="str">
        <x:v>Моделируемые данные Unitmetra</x:v>
      </x:c>
    </x:row>
    <x:row r="67">
      <x:c r="A67" s="48" t="str">
        <x:v>2026-02</x:v>
      </x:c>
      <x:c r="B67" s="48" t="str">
        <x:v>UM-011</x:v>
      </x:c>
      <x:c r="C67" s="48" t="str">
        <x:v>Брючный классик</x:v>
      </x:c>
      <x:c r="D67" s="48" t="str">
        <x:v>Костюмы</x:v>
      </x:c>
      <x:c r="E67" s="56" t="n">
        <x:v>4800</x:v>
      </x:c>
      <x:c r="F67" s="64" t="n">
        <x:v>0.21536458299594186</x:v>
      </x:c>
      <x:c r="G67" s="56" t="n">
        <x:v>1787.560170202464</x:v>
      </x:c>
      <x:c r="H67" s="64" t="n">
        <x:v>0.1820405959591173</x:v>
      </x:c>
      <x:c r="I67" s="56" t="n">
        <x:v>18</x:v>
      </x:c>
      <x:c r="J67" s="56" t="n">
        <x:v>7</x:v>
      </x:c>
      <x:c r="K67" s="56" t="n">
        <x:v>11</x:v>
      </x:c>
      <x:c r="L67" s="56" t="n">
        <x:v>3766.250001619479</x:v>
      </x:c>
      <x:c r="M67" s="56" t="n">
        <x:v>1550.0715279309618</x:v>
      </x:c>
      <x:c r="N67" s="56" t="n">
        <x:v>578.3398302374493</x:v>
      </x:c>
      <x:c r="O67" s="56" t="n">
        <x:v>241.1443628248493</x:v>
      </x:c>
      <x:c r="P67" s="56" t="n">
        <x:v>0</x:v>
      </x:c>
      <x:c r="Q67" s="56" t="n">
        <x:v>2160.665352526671</x:v>
      </x:c>
      <x:c r="R67" s="68" t="n">
        <x:f>IFERROR(K67/I67,0)</x:f>
        <x:v>0.6111111111111112</x:v>
      </x:c>
      <x:c r="S67" s="60" t="n">
        <x:f>K67*L67</x:f>
        <x:v>41428.750017814265</x:v>
      </x:c>
      <x:c r="T67" s="60" t="n">
        <x:f>S67*H67</x:f>
        <x:v>7541.714343084201</x:v>
      </x:c>
      <x:c r="U67" s="60" t="n">
        <x:f>K67*G67</x:f>
        <x:v>19663.161872227105</x:v>
      </x:c>
      <x:c r="V67" s="60" t="n">
        <x:f>S67-T67-M67-N67-O67-P67-Q67-U67</x:f>
        <x:v>9693.652728983034</x:v>
      </x:c>
      <x:c r="W67" s="68" t="n">
        <x:f>IFERROR(V67/S67,0)</x:f>
        <x:v>0.23398371239332072</x:v>
      </x:c>
      <x:c r="X67" s="72" t="n">
        <x:f>IFERROR(S67/Q67,0)</x:f>
        <x:v>19.174070602542727</x:v>
      </x:c>
      <x:c r="Y67" s="30" t="str">
        <x:v>Моделируемые данные Unitmetra</x:v>
      </x:c>
    </x:row>
    <x:row r="68">
      <x:c r="A68" s="48" t="str">
        <x:v>2025-09</x:v>
      </x:c>
      <x:c r="B68" s="48" t="str">
        <x:v>UM-012</x:v>
      </x:c>
      <x:c r="C68" s="48" t="str">
        <x:v>Трикотажный комплект</x:v>
      </x:c>
      <x:c r="D68" s="48" t="str">
        <x:v>Костюмы</x:v>
      </x:c>
      <x:c r="E68" s="56" t="n">
        <x:v>6100</x:v>
      </x:c>
      <x:c r="F68" s="64" t="n">
        <x:v>0.22912514437460452</x:v>
      </x:c>
      <x:c r="G68" s="56" t="n">
        <x:v>2179.2175981386</x:v>
      </x:c>
      <x:c r="H68" s="64" t="n">
        <x:v>0.19422354015040247</x:v>
      </x:c>
      <x:c r="I68" s="56" t="n">
        <x:v>62</x:v>
      </x:c>
      <x:c r="J68" s="56" t="n">
        <x:v>22</x:v>
      </x:c>
      <x:c r="K68" s="56" t="n">
        <x:v>40</x:v>
      </x:c>
      <x:c r="L68" s="56" t="n">
        <x:v>4702.336619314912</x:v>
      </x:c>
      <x:c r="M68" s="56" t="n">
        <x:v>6928.215751978696</x:v>
      </x:c>
      <x:c r="N68" s="56" t="n">
        <x:v>1349.890043313158</x:v>
      </x:c>
      <x:c r="O68" s="56" t="n">
        <x:v>931.5775049230776</x:v>
      </x:c>
      <x:c r="P68" s="56" t="n">
        <x:v>10.42880039683581</x:v>
      </x:c>
      <x:c r="Q68" s="56" t="n">
        <x:v>6874.501009860601</x:v>
      </x:c>
      <x:c r="R68" s="68" t="n">
        <x:f>IFERROR(K68/I68,0)</x:f>
        <x:v>0.6451612903225806</x:v>
      </x:c>
      <x:c r="S68" s="60" t="n">
        <x:f>K68*L68</x:f>
        <x:v>188093.4647725965</x:v>
      </x:c>
      <x:c r="T68" s="60" t="n">
        <x:f>S68*H68</x:f>
        <x:v>36532.178607288704</x:v>
      </x:c>
      <x:c r="U68" s="60" t="n">
        <x:f>K68*G68</x:f>
        <x:v>87168.70392554399</x:v>
      </x:c>
      <x:c r="V68" s="60" t="n">
        <x:f>S68-T68-M68-N68-O68-P68-Q68-U68</x:f>
        <x:v>48297.96912929148</x:v>
      </x:c>
      <x:c r="W68" s="68" t="n">
        <x:f>IFERROR(V68/S68,0)</x:f>
        <x:v>0.25677643392705507</x:v>
      </x:c>
      <x:c r="X68" s="72" t="n">
        <x:f>IFERROR(S68/Q68,0)</x:f>
        <x:v>27.361035295914604</x:v>
      </x:c>
      <x:c r="Y68" s="30" t="str">
        <x:v>Моделируемые данные Unitmetra</x:v>
      </x:c>
    </x:row>
    <x:row r="69">
      <x:c r="A69" s="48" t="str">
        <x:v>2025-10</x:v>
      </x:c>
      <x:c r="B69" s="48" t="str">
        <x:v>UM-012</x:v>
      </x:c>
      <x:c r="C69" s="48" t="str">
        <x:v>Трикотажный комплект</x:v>
      </x:c>
      <x:c r="D69" s="48" t="str">
        <x:v>Костюмы</x:v>
      </x:c>
      <x:c r="E69" s="56" t="n">
        <x:v>6100</x:v>
      </x:c>
      <x:c r="F69" s="64" t="n">
        <x:v>0.23912514437460453</x:v>
      </x:c>
      <x:c r="G69" s="56" t="n">
        <x:v>2179.2175981386</x:v>
      </x:c>
      <x:c r="H69" s="64" t="n">
        <x:v>0.19422354015040247</x:v>
      </x:c>
      <x:c r="I69" s="56" t="n">
        <x:v>54</x:v>
      </x:c>
      <x:c r="J69" s="56" t="n">
        <x:v>21</x:v>
      </x:c>
      <x:c r="K69" s="56" t="n">
        <x:v>33</x:v>
      </x:c>
      <x:c r="L69" s="56" t="n">
        <x:v>4641.336619314912</x:v>
      </x:c>
      <x:c r="M69" s="56" t="n">
        <x:v>4598.70492351321</x:v>
      </x:c>
      <x:c r="N69" s="56" t="n">
        <x:v>1250.9658273992727</x:v>
      </x:c>
      <x:c r="O69" s="56" t="n">
        <x:v>1067.9258574803089</x:v>
      </x:c>
      <x:c r="P69" s="56" t="n">
        <x:v>0</x:v>
      </x:c>
      <x:c r="Q69" s="56" t="n">
        <x:v>5270.904346150406</x:v>
      </x:c>
      <x:c r="R69" s="68" t="n">
        <x:f>IFERROR(K69/I69,0)</x:f>
        <x:v>0.6111111111111112</x:v>
      </x:c>
      <x:c r="S69" s="60" t="n">
        <x:f>K69*L69</x:f>
        <x:v>153164.1084373921</x:v>
      </x:c>
      <x:c r="T69" s="60" t="n">
        <x:f>S69*H69</x:f>
        <x:v>29748.075364690423</x:v>
      </x:c>
      <x:c r="U69" s="60" t="n">
        <x:f>K69*G69</x:f>
        <x:v>71914.18073857379</x:v>
      </x:c>
      <x:c r="V69" s="60" t="n">
        <x:f>S69-T69-M69-N69-O69-P69-Q69-U69</x:f>
        <x:v>39313.351379584696</x:v>
      </x:c>
      <x:c r="W69" s="68" t="n">
        <x:f>IFERROR(V69/S69,0)</x:f>
        <x:v>0.2566746986658076</x:v>
      </x:c>
      <x:c r="X69" s="72" t="n">
        <x:f>IFERROR(S69/Q69,0)</x:f>
        <x:v>29.058411683994073</x:v>
      </x:c>
      <x:c r="Y69" s="30" t="str">
        <x:v>Моделируемые данные Unitmetra</x:v>
      </x:c>
    </x:row>
    <x:row r="70">
      <x:c r="A70" s="48" t="str">
        <x:v>2025-11</x:v>
      </x:c>
      <x:c r="B70" s="48" t="str">
        <x:v>UM-012</x:v>
      </x:c>
      <x:c r="C70" s="48" t="str">
        <x:v>Трикотажный комплект</x:v>
      </x:c>
      <x:c r="D70" s="48" t="str">
        <x:v>Костюмы</x:v>
      </x:c>
      <x:c r="E70" s="56" t="n">
        <x:v>6100</x:v>
      </x:c>
      <x:c r="F70" s="64" t="n">
        <x:v>0.26912514437460455</x:v>
      </x:c>
      <x:c r="G70" s="56" t="n">
        <x:v>2179.2175981386</x:v>
      </x:c>
      <x:c r="H70" s="64" t="n">
        <x:v>0.19422354015040247</x:v>
      </x:c>
      <x:c r="I70" s="56" t="n">
        <x:v>67</x:v>
      </x:c>
      <x:c r="J70" s="56" t="n">
        <x:v>26</x:v>
      </x:c>
      <x:c r="K70" s="56" t="n">
        <x:v>41</x:v>
      </x:c>
      <x:c r="L70" s="56" t="n">
        <x:v>4458.336619314912</x:v>
      </x:c>
      <x:c r="M70" s="56" t="n">
        <x:v>7128.669487026467</x:v>
      </x:c>
      <x:c r="N70" s="56" t="n">
        <x:v>1897.7623782384724</x:v>
      </x:c>
      <x:c r="O70" s="56" t="n">
        <x:v>1092.3551636759403</x:v>
      </x:c>
      <x:c r="P70" s="56" t="n">
        <x:v>157.2887362695717</x:v>
      </x:c>
      <x:c r="Q70" s="56" t="n">
        <x:v>7195.305873841859</x:v>
      </x:c>
      <x:c r="R70" s="68" t="n">
        <x:f>IFERROR(K70/I70,0)</x:f>
        <x:v>0.6119402985074627</x:v>
      </x:c>
      <x:c r="S70" s="60" t="n">
        <x:f>K70*L70</x:f>
        <x:v>182791.8013919114</x:v>
      </x:c>
      <x:c r="T70" s="60" t="n">
        <x:f>S70*H70</x:f>
        <x:v>35502.470776806294</x:v>
      </x:c>
      <x:c r="U70" s="60" t="n">
        <x:f>K70*G70</x:f>
        <x:v>89347.9215236826</x:v>
      </x:c>
      <x:c r="V70" s="60" t="n">
        <x:f>S70-T70-M70-N70-O70-P70-Q70-U70</x:f>
        <x:v>40470.02745237021</x:v>
      </x:c>
      <x:c r="W70" s="68" t="n">
        <x:f>IFERROR(V70/S70,0)</x:f>
        <x:v>0.22139957669983892</x:v>
      </x:c>
      <x:c r="X70" s="72" t="n">
        <x:f>IFERROR(S70/Q70,0)</x:f>
        <x:v>25.404312839074848</x:v>
      </x:c>
      <x:c r="Y70" s="30" t="str">
        <x:v>Моделируемые данные Unitmetra</x:v>
      </x:c>
    </x:row>
    <x:row r="71">
      <x:c r="A71" s="48" t="str">
        <x:v>2025-12</x:v>
      </x:c>
      <x:c r="B71" s="48" t="str">
        <x:v>UM-012</x:v>
      </x:c>
      <x:c r="C71" s="48" t="str">
        <x:v>Трикотажный комплект</x:v>
      </x:c>
      <x:c r="D71" s="48" t="str">
        <x:v>Костюмы</x:v>
      </x:c>
      <x:c r="E71" s="56" t="n">
        <x:v>6100</x:v>
      </x:c>
      <x:c r="F71" s="64" t="n">
        <x:v>0.28912514437460435</x:v>
      </x:c>
      <x:c r="G71" s="56" t="n">
        <x:v>2179.2175981386</x:v>
      </x:c>
      <x:c r="H71" s="64" t="n">
        <x:v>0.19422354015040247</x:v>
      </x:c>
      <x:c r="I71" s="56" t="n">
        <x:v>83</x:v>
      </x:c>
      <x:c r="J71" s="56" t="n">
        <x:v>29</x:v>
      </x:c>
      <x:c r="K71" s="56" t="n">
        <x:v>54</x:v>
      </x:c>
      <x:c r="L71" s="56" t="n">
        <x:v>4336.336619314913</x:v>
      </x:c>
      <x:c r="M71" s="56" t="n">
        <x:v>9603.059129761923</x:v>
      </x:c>
      <x:c r="N71" s="56" t="n">
        <x:v>2247.168198462895</x:v>
      </x:c>
      <x:c r="O71" s="56" t="n">
        <x:v>1027.3505274965553</x:v>
      </x:c>
      <x:c r="P71" s="56" t="n">
        <x:v>0</x:v>
      </x:c>
      <x:c r="Q71" s="56" t="n">
        <x:v>9555.664884320784</x:v>
      </x:c>
      <x:c r="R71" s="68" t="n">
        <x:f>IFERROR(K71/I71,0)</x:f>
        <x:v>0.6506024096385542</x:v>
      </x:c>
      <x:c r="S71" s="60" t="n">
        <x:f>K71*L71</x:f>
        <x:v>234162.17744300532</x:v>
      </x:c>
      <x:c r="T71" s="60" t="n">
        <x:f>S71*H71</x:f>
        <x:v>45479.80707230721</x:v>
      </x:c>
      <x:c r="U71" s="60" t="n">
        <x:f>K71*G71</x:f>
        <x:v>117677.7502994844</x:v>
      </x:c>
      <x:c r="V71" s="60" t="n">
        <x:f>S71-T71-M71-N71-O71-P71-Q71-U71</x:f>
        <x:v>48571.37733117158</x:v>
      </x:c>
      <x:c r="W71" s="68" t="n">
        <x:f>IFERROR(V71/S71,0)</x:f>
        <x:v>0.20742622852913029</x:v>
      </x:c>
      <x:c r="X71" s="72" t="n">
        <x:f>IFERROR(S71/Q71,0)</x:f>
        <x:v>24.505063779206562</x:v>
      </x:c>
      <x:c r="Y71" s="30" t="str">
        <x:v>Моделируемые данные Unitmetra</x:v>
      </x:c>
    </x:row>
    <x:row r="72">
      <x:c r="A72" s="48" t="str">
        <x:v>2026-01</x:v>
      </x:c>
      <x:c r="B72" s="48" t="str">
        <x:v>UM-012</x:v>
      </x:c>
      <x:c r="C72" s="48" t="str">
        <x:v>Трикотажный комплект</x:v>
      </x:c>
      <x:c r="D72" s="48" t="str">
        <x:v>Костюмы</x:v>
      </x:c>
      <x:c r="E72" s="56" t="n">
        <x:v>6100</x:v>
      </x:c>
      <x:c r="F72" s="64" t="n">
        <x:v>0.25912514437460454</x:v>
      </x:c>
      <x:c r="G72" s="56" t="n">
        <x:v>2179.2175981386</x:v>
      </x:c>
      <x:c r="H72" s="64" t="n">
        <x:v>0.19422354015040247</x:v>
      </x:c>
      <x:c r="I72" s="56" t="n">
        <x:v>49</x:v>
      </x:c>
      <x:c r="J72" s="56" t="n">
        <x:v>20</x:v>
      </x:c>
      <x:c r="K72" s="56" t="n">
        <x:v>29</x:v>
      </x:c>
      <x:c r="L72" s="56" t="n">
        <x:v>4519.336619314912</x:v>
      </x:c>
      <x:c r="M72" s="56" t="n">
        <x:v>5367.480996865793</x:v>
      </x:c>
      <x:c r="N72" s="56" t="n">
        <x:v>1341.8841224714492</x:v>
      </x:c>
      <x:c r="O72" s="56" t="n">
        <x:v>1069.6243557190019</x:v>
      </x:c>
      <x:c r="P72" s="56" t="n">
        <x:v>0</x:v>
      </x:c>
      <x:c r="Q72" s="56" t="n">
        <x:v>5051.548610130542</x:v>
      </x:c>
      <x:c r="R72" s="68" t="n">
        <x:f>IFERROR(K72/I72,0)</x:f>
        <x:v>0.5918367346938775</x:v>
      </x:c>
      <x:c r="S72" s="60" t="n">
        <x:f>K72*L72</x:f>
        <x:v>131060.76196013245</x:v>
      </x:c>
      <x:c r="T72" s="60" t="n">
        <x:f>S72*H72</x:f>
        <x:v>25455.085162706127</x:v>
      </x:c>
      <x:c r="U72" s="60" t="n">
        <x:f>K72*G72</x:f>
        <x:v>63197.310346019396</x:v>
      </x:c>
      <x:c r="V72" s="60" t="n">
        <x:f>S72-T72-M72-N72-O72-P72-Q72-U72</x:f>
        <x:v>29577.828366220143</x:v>
      </x:c>
      <x:c r="W72" s="68" t="n">
        <x:f>IFERROR(V72/S72,0)</x:f>
        <x:v>0.22568027168358337</x:v>
      </x:c>
      <x:c r="X72" s="72" t="n">
        <x:f>IFERROR(S72/Q72,0)</x:f>
        <x:v>25.944670055693194</x:v>
      </x:c>
      <x:c r="Y72" s="30" t="str">
        <x:v>Моделируемые данные Unitmetra</x:v>
      </x:c>
    </x:row>
    <x:row r="73">
      <x:c r="A73" s="48" t="str">
        <x:v>2026-02</x:v>
      </x:c>
      <x:c r="B73" s="48" t="str">
        <x:v>UM-012</x:v>
      </x:c>
      <x:c r="C73" s="48" t="str">
        <x:v>Трикотажный комплект</x:v>
      </x:c>
      <x:c r="D73" s="48" t="str">
        <x:v>Костюмы</x:v>
      </x:c>
      <x:c r="E73" s="56" t="n">
        <x:v>6100</x:v>
      </x:c>
      <x:c r="F73" s="64" t="n">
        <x:v>0.23912514437460453</x:v>
      </x:c>
      <x:c r="G73" s="56" t="n">
        <x:v>2179.2175981386</x:v>
      </x:c>
      <x:c r="H73" s="64" t="n">
        <x:v>0.19422354015040247</x:v>
      </x:c>
      <x:c r="I73" s="56" t="n">
        <x:v>51</x:v>
      </x:c>
      <x:c r="J73" s="56" t="n">
        <x:v>18</x:v>
      </x:c>
      <x:c r="K73" s="56" t="n">
        <x:v>33</x:v>
      </x:c>
      <x:c r="L73" s="56" t="n">
        <x:v>4641.336619314912</x:v>
      </x:c>
      <x:c r="M73" s="56" t="n">
        <x:v>4778.41936393211</x:v>
      </x:c>
      <x:c r="N73" s="56" t="n">
        <x:v>1210.404600844747</x:v>
      </x:c>
      <x:c r="O73" s="56" t="n">
        <x:v>409.5335675289362</x:v>
      </x:c>
      <x:c r="P73" s="56" t="n">
        <x:v>0</x:v>
      </x:c>
      <x:c r="Q73" s="56" t="n">
        <x:v>6291.1045532873095</x:v>
      </x:c>
      <x:c r="R73" s="68" t="n">
        <x:f>IFERROR(K73/I73,0)</x:f>
        <x:v>0.6470588235294118</x:v>
      </x:c>
      <x:c r="S73" s="60" t="n">
        <x:f>K73*L73</x:f>
        <x:v>153164.1084373921</x:v>
      </x:c>
      <x:c r="T73" s="60" t="n">
        <x:f>S73*H73</x:f>
        <x:v>29748.075364690423</x:v>
      </x:c>
      <x:c r="U73" s="60" t="n">
        <x:f>K73*G73</x:f>
        <x:v>71914.18073857379</x:v>
      </x:c>
      <x:c r="V73" s="60" t="n">
        <x:f>S73-T73-M73-N73-O73-P73-Q73-U73</x:f>
        <x:v>38812.39024853478</x:v>
      </x:c>
      <x:c r="W73" s="68" t="n">
        <x:f>IFERROR(V73/S73,0)</x:f>
        <x:v>0.2534039511247497</x:v>
      </x:c>
      <x:c r="X73" s="72" t="n">
        <x:f>IFERROR(S73/Q73,0)</x:f>
        <x:v>24.3461394004903</x:v>
      </x:c>
      <x:c r="Y73" s="30" t="str">
        <x:v>Моделируемые данные Unitmetra</x:v>
      </x:c>
    </x:row>
    <x:row r="74">
      <x:c r="A74" s="48" t="str">
        <x:v>2025-09</x:v>
      </x:c>
      <x:c r="B74" s="48" t="str">
        <x:v>UM-013</x:v>
      </x:c>
      <x:c r="C74" s="48" t="str">
        <x:v>Костюм-тройка</x:v>
      </x:c>
      <x:c r="D74" s="48" t="str">
        <x:v>Костюмы</x:v>
      </x:c>
      <x:c r="E74" s="56" t="n">
        <x:v>4300</x:v>
      </x:c>
      <x:c r="F74" s="64" t="n">
        <x:v>0.1544076577241027</x:v>
      </x:c>
      <x:c r="G74" s="56" t="n">
        <x:v>1533.7374249077684</x:v>
      </x:c>
      <x:c r="H74" s="64" t="n">
        <x:v>0.18564451226617606</x:v>
      </x:c>
      <x:c r="I74" s="56" t="n">
        <x:v>33</x:v>
      </x:c>
      <x:c r="J74" s="56" t="n">
        <x:v>15</x:v>
      </x:c>
      <x:c r="K74" s="56" t="n">
        <x:v>18</x:v>
      </x:c>
      <x:c r="L74" s="56" t="n">
        <x:v>3636.047071786358</x:v>
      </x:c>
      <x:c r="M74" s="56" t="n">
        <x:v>2666.091707852353</x:v>
      </x:c>
      <x:c r="N74" s="56" t="n">
        <x:v>971.9460792023009</x:v>
      </x:c>
      <x:c r="O74" s="56" t="n">
        <x:v>922.5459360630072</x:v>
      </x:c>
      <x:c r="P74" s="56" t="n">
        <x:v>0</x:v>
      </x:c>
      <x:c r="Q74" s="56" t="n">
        <x:v>4392.891895464037</x:v>
      </x:c>
      <x:c r="R74" s="68" t="n">
        <x:f>IFERROR(K74/I74,0)</x:f>
        <x:v>0.5454545454545454</x:v>
      </x:c>
      <x:c r="S74" s="60" t="n">
        <x:f>K74*L74</x:f>
        <x:v>65448.847292154445</x:v>
      </x:c>
      <x:c r="T74" s="60" t="n">
        <x:f>S74*H74</x:f>
        <x:v>12150.21933393545</x:v>
      </x:c>
      <x:c r="U74" s="60" t="n">
        <x:f>K74*G74</x:f>
        <x:v>27607.273648339833</x:v>
      </x:c>
      <x:c r="V74" s="60" t="n">
        <x:f>S74-T74-M74-N74-O74-P74-Q74-U74</x:f>
        <x:v>16737.87869129746</x:v>
      </x:c>
      <x:c r="W74" s="68" t="n">
        <x:f>IFERROR(V74/S74,0)</x:f>
        <x:v>0.25573985461626125</x:v>
      </x:c>
      <x:c r="X74" s="72" t="n">
        <x:f>IFERROR(S74/Q74,0)</x:f>
        <x:v>14.898806719950219</x:v>
      </x:c>
      <x:c r="Y74" s="30" t="str">
        <x:v>Моделируемые данные Unitmetra</x:v>
      </x:c>
    </x:row>
    <x:row r="75">
      <x:c r="A75" s="48" t="str">
        <x:v>2025-10</x:v>
      </x:c>
      <x:c r="B75" s="48" t="str">
        <x:v>UM-013</x:v>
      </x:c>
      <x:c r="C75" s="48" t="str">
        <x:v>Костюм-тройка</x:v>
      </x:c>
      <x:c r="D75" s="48" t="str">
        <x:v>Костюмы</x:v>
      </x:c>
      <x:c r="E75" s="56" t="n">
        <x:v>4300</x:v>
      </x:c>
      <x:c r="F75" s="64" t="n">
        <x:v>0.1644076577241027</x:v>
      </x:c>
      <x:c r="G75" s="56" t="n">
        <x:v>1533.7374249077684</x:v>
      </x:c>
      <x:c r="H75" s="64" t="n">
        <x:v>0.18564451226617606</x:v>
      </x:c>
      <x:c r="I75" s="56" t="n">
        <x:v>35</x:v>
      </x:c>
      <x:c r="J75" s="56" t="n">
        <x:v>15</x:v>
      </x:c>
      <x:c r="K75" s="56" t="n">
        <x:v>20</x:v>
      </x:c>
      <x:c r="L75" s="56" t="n">
        <x:v>3593.047071786358</x:v>
      </x:c>
      <x:c r="M75" s="56" t="n">
        <x:v>3185.2135358423984</x:v>
      </x:c>
      <x:c r="N75" s="56" t="n">
        <x:v>887.3945233050388</x:v>
      </x:c>
      <x:c r="O75" s="56" t="n">
        <x:v>880.6887478353023</x:v>
      </x:c>
      <x:c r="P75" s="56" t="n">
        <x:v>141.84926230514188</x:v>
      </x:c>
      <x:c r="Q75" s="56" t="n">
        <x:v>4291.251130031402</x:v>
      </x:c>
      <x:c r="R75" s="68" t="n">
        <x:f>IFERROR(K75/I75,0)</x:f>
        <x:v>0.5714285714285714</x:v>
      </x:c>
      <x:c r="S75" s="60" t="n">
        <x:f>K75*L75</x:f>
        <x:v>71860.94143572716</x:v>
      </x:c>
      <x:c r="T75" s="60" t="n">
        <x:f>S75*H75</x:f>
        <x:v>13340.58942382381</x:v>
      </x:c>
      <x:c r="U75" s="60" t="n">
        <x:f>K75*G75</x:f>
        <x:v>30674.748498155368</x:v>
      </x:c>
      <x:c r="V75" s="60" t="n">
        <x:f>S75-T75-M75-N75-O75-P75-Q75-U75</x:f>
        <x:v>18459.2063144287</x:v>
      </x:c>
      <x:c r="W75" s="68" t="n">
        <x:f>IFERROR(V75/S75,0)</x:f>
        <x:v>0.2568739839143176</x:v>
      </x:c>
      <x:c r="X75" s="72" t="n">
        <x:f>IFERROR(S75/Q75,0)</x:f>
        <x:v>16.745918441552803</x:v>
      </x:c>
      <x:c r="Y75" s="30" t="str">
        <x:v>Моделируемые данные Unitmetra</x:v>
      </x:c>
    </x:row>
    <x:row r="76">
      <x:c r="A76" s="48" t="str">
        <x:v>2025-11</x:v>
      </x:c>
      <x:c r="B76" s="48" t="str">
        <x:v>UM-013</x:v>
      </x:c>
      <x:c r="C76" s="48" t="str">
        <x:v>Костюм-тройка</x:v>
      </x:c>
      <x:c r="D76" s="48" t="str">
        <x:v>Костюмы</x:v>
      </x:c>
      <x:c r="E76" s="56" t="n">
        <x:v>4300</x:v>
      </x:c>
      <x:c r="F76" s="64" t="n">
        <x:v>0.19440765772410273</x:v>
      </x:c>
      <x:c r="G76" s="56" t="n">
        <x:v>1533.7374249077684</x:v>
      </x:c>
      <x:c r="H76" s="64" t="n">
        <x:v>0.18564451226617606</x:v>
      </x:c>
      <x:c r="I76" s="56" t="n">
        <x:v>46</x:v>
      </x:c>
      <x:c r="J76" s="56" t="n">
        <x:v>17</x:v>
      </x:c>
      <x:c r="K76" s="56" t="n">
        <x:v>29</x:v>
      </x:c>
      <x:c r="L76" s="56" t="n">
        <x:v>3464.047071786358</x:v>
      </x:c>
      <x:c r="M76" s="56" t="n">
        <x:v>4149.39675309038</x:v>
      </x:c>
      <x:c r="N76" s="56" t="n">
        <x:v>1253.9938600261075</x:v>
      </x:c>
      <x:c r="O76" s="56" t="n">
        <x:v>759.7470736984949</x:v>
      </x:c>
      <x:c r="P76" s="56" t="n">
        <x:v>0</x:v>
      </x:c>
      <x:c r="Q76" s="56" t="n">
        <x:v>6383.916536099447</x:v>
      </x:c>
      <x:c r="R76" s="68" t="n">
        <x:f>IFERROR(K76/I76,0)</x:f>
        <x:v>0.6304347826086957</x:v>
      </x:c>
      <x:c r="S76" s="60" t="n">
        <x:f>K76*L76</x:f>
        <x:v>100457.36508180438</x:v>
      </x:c>
      <x:c r="T76" s="60" t="n">
        <x:f>S76*H76</x:f>
        <x:v>18649.35854415676</x:v>
      </x:c>
      <x:c r="U76" s="60" t="n">
        <x:f>K76*G76</x:f>
        <x:v>44478.38532232528</x:v>
      </x:c>
      <x:c r="V76" s="60" t="n">
        <x:f>S76-T76-M76-N76-O76-P76-Q76-U76</x:f>
        <x:v>24782.566992407912</x:v>
      </x:c>
      <x:c r="W76" s="68" t="n">
        <x:f>IFERROR(V76/S76,0)</x:f>
        <x:v>0.24669736233104447</x:v>
      </x:c>
      <x:c r="X76" s="72" t="n">
        <x:f>IFERROR(S76/Q76,0)</x:f>
        <x:v>15.736008532339541</x:v>
      </x:c>
      <x:c r="Y76" s="30" t="str">
        <x:v>Моделируемые данные Unitmetra</x:v>
      </x:c>
    </x:row>
    <x:row r="77">
      <x:c r="A77" s="48" t="str">
        <x:v>2025-12</x:v>
      </x:c>
      <x:c r="B77" s="48" t="str">
        <x:v>UM-013</x:v>
      </x:c>
      <x:c r="C77" s="48" t="str">
        <x:v>Костюм-тройка</x:v>
      </x:c>
      <x:c r="D77" s="48" t="str">
        <x:v>Костюмы</x:v>
      </x:c>
      <x:c r="E77" s="56" t="n">
        <x:v>4300</x:v>
      </x:c>
      <x:c r="F77" s="64" t="n">
        <x:v>0.21440765772410264</x:v>
      </x:c>
      <x:c r="G77" s="56" t="n">
        <x:v>1533.7374249077684</x:v>
      </x:c>
      <x:c r="H77" s="64" t="n">
        <x:v>0.18564451226617606</x:v>
      </x:c>
      <x:c r="I77" s="56" t="n">
        <x:v>53</x:v>
      </x:c>
      <x:c r="J77" s="56" t="n">
        <x:v>23</x:v>
      </x:c>
      <x:c r="K77" s="56" t="n">
        <x:v>30</x:v>
      </x:c>
      <x:c r="L77" s="56" t="n">
        <x:v>3378.0470717863586</x:v>
      </x:c>
      <x:c r="M77" s="56" t="n">
        <x:v>6095.228140243725</x:v>
      </x:c>
      <x:c r="N77" s="56" t="n">
        <x:v>1686.0569366589395</x:v>
      </x:c>
      <x:c r="O77" s="56" t="n">
        <x:v>1021.3499485650722</x:v>
      </x:c>
      <x:c r="P77" s="56" t="n">
        <x:v>0</x:v>
      </x:c>
      <x:c r="Q77" s="56" t="n">
        <x:v>4977.766938781303</x:v>
      </x:c>
      <x:c r="R77" s="68" t="n">
        <x:f>IFERROR(K77/I77,0)</x:f>
        <x:v>0.5660377358490566</x:v>
      </x:c>
      <x:c r="S77" s="60" t="n">
        <x:f>K77*L77</x:f>
        <x:v>101341.41215359076</x:v>
      </x:c>
      <x:c r="T77" s="60" t="n">
        <x:f>S77*H77</x:f>
        <x:v>18813.477031618884</x:v>
      </x:c>
      <x:c r="U77" s="60" t="n">
        <x:f>K77*G77</x:f>
        <x:v>46012.12274723305</x:v>
      </x:c>
      <x:c r="V77" s="60" t="n">
        <x:f>S77-T77-M77-N77-O77-P77-Q77-U77</x:f>
        <x:v>22735.4104104898</x:v>
      </x:c>
      <x:c r="W77" s="68" t="n">
        <x:f>IFERROR(V77/S77,0)</x:f>
        <x:v>0.2243447168077007</x:v>
      </x:c>
      <x:c r="X77" s="72" t="n">
        <x:f>IFERROR(S77/Q77,0)</x:f>
        <x:v>20.358810165266995</x:v>
      </x:c>
      <x:c r="Y77" s="30" t="str">
        <x:v>Моделируемые данные Unitmetra</x:v>
      </x:c>
    </x:row>
    <x:row r="78">
      <x:c r="A78" s="48" t="str">
        <x:v>2026-01</x:v>
      </x:c>
      <x:c r="B78" s="48" t="str">
        <x:v>UM-013</x:v>
      </x:c>
      <x:c r="C78" s="48" t="str">
        <x:v>Костюм-тройка</x:v>
      </x:c>
      <x:c r="D78" s="48" t="str">
        <x:v>Костюмы</x:v>
      </x:c>
      <x:c r="E78" s="56" t="n">
        <x:v>4300</x:v>
      </x:c>
      <x:c r="F78" s="64" t="n">
        <x:v>0.18440765772410272</x:v>
      </x:c>
      <x:c r="G78" s="56" t="n">
        <x:v>1533.7374249077684</x:v>
      </x:c>
      <x:c r="H78" s="64" t="n">
        <x:v>0.18564451226617606</x:v>
      </x:c>
      <x:c r="I78" s="56" t="n">
        <x:v>31</x:v>
      </x:c>
      <x:c r="J78" s="56" t="n">
        <x:v>14</x:v>
      </x:c>
      <x:c r="K78" s="56" t="n">
        <x:v>17</x:v>
      </x:c>
      <x:c r="L78" s="56" t="n">
        <x:v>3507.047071786358</x:v>
      </x:c>
      <x:c r="M78" s="56" t="n">
        <x:v>3263.9311001424294</x:v>
      </x:c>
      <x:c r="N78" s="56" t="n">
        <x:v>910.3267321226773</x:v>
      </x:c>
      <x:c r="O78" s="56" t="n">
        <x:v>1048.7559762829605</x:v>
      </x:c>
      <x:c r="P78" s="56" t="n">
        <x:v>0</x:v>
      </x:c>
      <x:c r="Q78" s="56" t="n">
        <x:v>2766.7088174302407</x:v>
      </x:c>
      <x:c r="R78" s="68" t="n">
        <x:f>IFERROR(K78/I78,0)</x:f>
        <x:v>0.5483870967741935</x:v>
      </x:c>
      <x:c r="S78" s="60" t="n">
        <x:f>K78*L78</x:f>
        <x:v>59619.80022036809</x:v>
      </x:c>
      <x:c r="T78" s="60" t="n">
        <x:f>S78*H78</x:f>
        <x:v>11068.08873331709</x:v>
      </x:c>
      <x:c r="U78" s="60" t="n">
        <x:f>K78*G78</x:f>
        <x:v>26073.536223432064</x:v>
      </x:c>
      <x:c r="V78" s="60" t="n">
        <x:f>S78-T78-M78-N78-O78-P78-Q78-U78</x:f>
        <x:v>14488.452637640628</x:v>
      </x:c>
      <x:c r="W78" s="68" t="n">
        <x:f>IFERROR(V78/S78,0)</x:f>
        <x:v>0.24301410913971658</x:v>
      </x:c>
      <x:c r="X78" s="72" t="n">
        <x:f>IFERROR(S78/Q78,0)</x:f>
        <x:v>21.548997077236276</x:v>
      </x:c>
      <x:c r="Y78" s="30" t="str">
        <x:v>Моделируемые данные Unitmetra</x:v>
      </x:c>
    </x:row>
    <x:row r="79">
      <x:c r="A79" s="48" t="str">
        <x:v>2026-02</x:v>
      </x:c>
      <x:c r="B79" s="48" t="str">
        <x:v>UM-013</x:v>
      </x:c>
      <x:c r="C79" s="48" t="str">
        <x:v>Костюм-тройка</x:v>
      </x:c>
      <x:c r="D79" s="48" t="str">
        <x:v>Костюмы</x:v>
      </x:c>
      <x:c r="E79" s="56" t="n">
        <x:v>4300</x:v>
      </x:c>
      <x:c r="F79" s="64" t="n">
        <x:v>0.1644076577241027</x:v>
      </x:c>
      <x:c r="G79" s="56" t="n">
        <x:v>1533.7374249077684</x:v>
      </x:c>
      <x:c r="H79" s="64" t="n">
        <x:v>0.18564451226617606</x:v>
      </x:c>
      <x:c r="I79" s="56" t="n">
        <x:v>32</x:v>
      </x:c>
      <x:c r="J79" s="56" t="n">
        <x:v>13</x:v>
      </x:c>
      <x:c r="K79" s="56" t="n">
        <x:v>19</x:v>
      </x:c>
      <x:c r="L79" s="56" t="n">
        <x:v>3593.047071786358</x:v>
      </x:c>
      <x:c r="M79" s="56" t="n">
        <x:v>3538.7740525593595</x:v>
      </x:c>
      <x:c r="N79" s="56" t="n">
        <x:v>1012.4101358654299</x:v>
      </x:c>
      <x:c r="O79" s="56" t="n">
        <x:v>446.4596741896968</x:v>
      </x:c>
      <x:c r="P79" s="56" t="n">
        <x:v>0</x:v>
      </x:c>
      <x:c r="Q79" s="56" t="n">
        <x:v>5198.251816720397</x:v>
      </x:c>
      <x:c r="R79" s="68" t="n">
        <x:f>IFERROR(K79/I79,0)</x:f>
        <x:v>0.59375</x:v>
      </x:c>
      <x:c r="S79" s="60" t="n">
        <x:f>K79*L79</x:f>
        <x:v>68267.89436394081</x:v>
      </x:c>
      <x:c r="T79" s="60" t="n">
        <x:f>S79*H79</x:f>
        <x:v>12673.559952632622</x:v>
      </x:c>
      <x:c r="U79" s="60" t="n">
        <x:f>K79*G79</x:f>
        <x:v>29141.0110732476</x:v>
      </x:c>
      <x:c r="V79" s="60" t="n">
        <x:f>S79-T79-M79-N79-O79-P79-Q79-U79</x:f>
        <x:v>16257.4276587257</x:v>
      </x:c>
      <x:c r="W79" s="68" t="n">
        <x:f>IFERROR(V79/S79,0)</x:f>
        <x:v>0.2381416302670219</x:v>
      </x:c>
      <x:c r="X79" s="72" t="n">
        <x:f>IFERROR(S79/Q79,0)</x:f>
        <x:v>13.132856346888437</x:v>
      </x:c>
      <x:c r="Y79" s="30" t="str">
        <x:v>Моделируемые данные Unitmetra</x:v>
      </x:c>
    </x:row>
    <x:row r="80">
      <x:c r="A80" s="48" t="str">
        <x:v>2025-09</x:v>
      </x:c>
      <x:c r="B80" s="48" t="str">
        <x:v>UM-014</x:v>
      </x:c>
      <x:c r="C80" s="48" t="str">
        <x:v>Жакет и юбка</x:v>
      </x:c>
      <x:c r="D80" s="48" t="str">
        <x:v>Костюмы</x:v>
      </x:c>
      <x:c r="E80" s="56" t="n">
        <x:v>6100</x:v>
      </x:c>
      <x:c r="F80" s="64" t="n">
        <x:v>0.2113850040918449</x:v>
      </x:c>
      <x:c r="G80" s="56" t="n">
        <x:v>1925.9075375026255</x:v>
      </x:c>
      <x:c r="H80" s="64" t="n">
        <x:v>0.2020598907591611</x:v>
      </x:c>
      <x:c r="I80" s="56" t="n">
        <x:v>30</x:v>
      </x:c>
      <x:c r="J80" s="56" t="n">
        <x:v>12</x:v>
      </x:c>
      <x:c r="K80" s="56" t="n">
        <x:v>18</x:v>
      </x:c>
      <x:c r="L80" s="56" t="n">
        <x:v>4810.551475039746</x:v>
      </x:c>
      <x:c r="M80" s="56" t="n">
        <x:v>3103.153648915266</x:v>
      </x:c>
      <x:c r="N80" s="56" t="n">
        <x:v>807.5936597610156</x:v>
      </x:c>
      <x:c r="O80" s="56" t="n">
        <x:v>802.5786545536951</x:v>
      </x:c>
      <x:c r="P80" s="56" t="n">
        <x:v>73.05989788852439</x:v>
      </x:c>
      <x:c r="Q80" s="56" t="n">
        <x:v>5485.077585048735</x:v>
      </x:c>
      <x:c r="R80" s="68" t="n">
        <x:f>IFERROR(K80/I80,0)</x:f>
        <x:v>0.6</x:v>
      </x:c>
      <x:c r="S80" s="60" t="n">
        <x:f>K80*L80</x:f>
        <x:v>86589.92655071543</x:v>
      </x:c>
      <x:c r="T80" s="60" t="n">
        <x:f>S80*H80</x:f>
        <x:v>17496.351099681342</x:v>
      </x:c>
      <x:c r="U80" s="60" t="n">
        <x:f>K80*G80</x:f>
        <x:v>34666.33567504726</x:v>
      </x:c>
      <x:c r="V80" s="60" t="n">
        <x:f>S80-T80-M80-N80-O80-P80-Q80-U80</x:f>
        <x:v>24155.7763298196</x:v>
      </x:c>
      <x:c r="W80" s="68" t="n">
        <x:f>IFERROR(V80/S80,0)</x:f>
        <x:v>0.27896751148843674</x:v>
      </x:c>
      <x:c r="X80" s="72" t="n">
        <x:f>IFERROR(S80/Q80,0)</x:f>
        <x:v>15.786454285850558</x:v>
      </x:c>
      <x:c r="Y80" s="30" t="str">
        <x:v>Моделируемые данные Unitmetra</x:v>
      </x:c>
    </x:row>
    <x:row r="81">
      <x:c r="A81" s="48" t="str">
        <x:v>2025-10</x:v>
      </x:c>
      <x:c r="B81" s="48" t="str">
        <x:v>UM-014</x:v>
      </x:c>
      <x:c r="C81" s="48" t="str">
        <x:v>Жакет и юбка</x:v>
      </x:c>
      <x:c r="D81" s="48" t="str">
        <x:v>Костюмы</x:v>
      </x:c>
      <x:c r="E81" s="56" t="n">
        <x:v>6100</x:v>
      </x:c>
      <x:c r="F81" s="64" t="n">
        <x:v>0.22138500409184492</x:v>
      </x:c>
      <x:c r="G81" s="56" t="n">
        <x:v>1925.9075375026255</x:v>
      </x:c>
      <x:c r="H81" s="64" t="n">
        <x:v>0.2020598907591611</x:v>
      </x:c>
      <x:c r="I81" s="56" t="n">
        <x:v>33</x:v>
      </x:c>
      <x:c r="J81" s="56" t="n">
        <x:v>14</x:v>
      </x:c>
      <x:c r="K81" s="56" t="n">
        <x:v>19</x:v>
      </x:c>
      <x:c r="L81" s="56" t="n">
        <x:v>4749.551475039746</x:v>
      </x:c>
      <x:c r="M81" s="56" t="n">
        <x:v>2822.594372553185</x:v>
      </x:c>
      <x:c r="N81" s="56" t="n">
        <x:v>1095.2210784968815</x:v>
      </x:c>
      <x:c r="O81" s="56" t="n">
        <x:v>614.3317320741423</x:v>
      </x:c>
      <x:c r="P81" s="56" t="n">
        <x:v>98.58609000147445</x:v>
      </x:c>
      <x:c r="Q81" s="56" t="n">
        <x:v>3630.183867615917</x:v>
      </x:c>
      <x:c r="R81" s="68" t="n">
        <x:f>IFERROR(K81/I81,0)</x:f>
        <x:v>0.5757575757575758</x:v>
      </x:c>
      <x:c r="S81" s="60" t="n">
        <x:f>K81*L81</x:f>
        <x:v>90241.47802575518</x:v>
      </x:c>
      <x:c r="T81" s="60" t="n">
        <x:f>S81*H81</x:f>
        <x:v>18234.18319182933</x:v>
      </x:c>
      <x:c r="U81" s="60" t="n">
        <x:f>K81*G81</x:f>
        <x:v>36592.24321254988</x:v>
      </x:c>
      <x:c r="V81" s="60" t="n">
        <x:f>S81-T81-M81-N81-O81-P81-Q81-U81</x:f>
        <x:v>27154.134480634355</x:v>
      </x:c>
      <x:c r="W81" s="68" t="n">
        <x:f>IFERROR(V81/S81,0)</x:f>
        <x:v>0.3009052497221343</x:v>
      </x:c>
      <x:c r="X81" s="72" t="n">
        <x:f>IFERROR(S81/Q81,0)</x:f>
        <x:v>24.85865215555053</x:v>
      </x:c>
      <x:c r="Y81" s="30" t="str">
        <x:v>Моделируемые данные Unitmetra</x:v>
      </x:c>
    </x:row>
    <x:row r="82">
      <x:c r="A82" s="48" t="str">
        <x:v>2025-11</x:v>
      </x:c>
      <x:c r="B82" s="48" t="str">
        <x:v>UM-014</x:v>
      </x:c>
      <x:c r="C82" s="48" t="str">
        <x:v>Жакет и юбка</x:v>
      </x:c>
      <x:c r="D82" s="48" t="str">
        <x:v>Костюмы</x:v>
      </x:c>
      <x:c r="E82" s="56" t="n">
        <x:v>6100</x:v>
      </x:c>
      <x:c r="F82" s="64" t="n">
        <x:v>0.2513850040918447</x:v>
      </x:c>
      <x:c r="G82" s="56" t="n">
        <x:v>1925.9075375026255</x:v>
      </x:c>
      <x:c r="H82" s="64" t="n">
        <x:v>0.2020598907591611</x:v>
      </x:c>
      <x:c r="I82" s="56" t="n">
        <x:v>50</x:v>
      </x:c>
      <x:c r="J82" s="56" t="n">
        <x:v>19</x:v>
      </x:c>
      <x:c r="K82" s="56" t="n">
        <x:v>31</x:v>
      </x:c>
      <x:c r="L82" s="56" t="n">
        <x:v>4566.551475039747</x:v>
      </x:c>
      <x:c r="M82" s="56" t="n">
        <x:v>5961.6422910660685</x:v>
      </x:c>
      <x:c r="N82" s="56" t="n">
        <x:v>1084.695162857095</x:v>
      </x:c>
      <x:c r="O82" s="56" t="n">
        <x:v>508.43272906472845</x:v>
      </x:c>
      <x:c r="P82" s="56" t="n">
        <x:v>0</x:v>
      </x:c>
      <x:c r="Q82" s="56" t="n">
        <x:v>6922.1191769404295</x:v>
      </x:c>
      <x:c r="R82" s="68" t="n">
        <x:f>IFERROR(K82/I82,0)</x:f>
        <x:v>0.62</x:v>
      </x:c>
      <x:c r="S82" s="60" t="n">
        <x:f>K82*L82</x:f>
        <x:v>141563.09572623216</x:v>
      </x:c>
      <x:c r="T82" s="60" t="n">
        <x:f>S82*H82</x:f>
        <x:v>28604.223657971135</x:v>
      </x:c>
      <x:c r="U82" s="60" t="n">
        <x:f>K82*G82</x:f>
        <x:v>59703.13366258139</x:v>
      </x:c>
      <x:c r="V82" s="60" t="n">
        <x:f>S82-T82-M82-N82-O82-P82-Q82-U82</x:f>
        <x:v>38778.84904575132</x:v>
      </x:c>
      <x:c r="W82" s="68" t="n">
        <x:f>IFERROR(V82/S82,0)</x:f>
        <x:v>0.2739333217235193</x:v>
      </x:c>
      <x:c r="X82" s="72" t="n">
        <x:f>IFERROR(S82/Q82,0)</x:f>
        <x:v>20.45083190676918</x:v>
      </x:c>
      <x:c r="Y82" s="30" t="str">
        <x:v>Моделируемые данные Unitmetra</x:v>
      </x:c>
    </x:row>
    <x:row r="83">
      <x:c r="A83" s="48" t="str">
        <x:v>2025-12</x:v>
      </x:c>
      <x:c r="B83" s="48" t="str">
        <x:v>UM-014</x:v>
      </x:c>
      <x:c r="C83" s="48" t="str">
        <x:v>Жакет и юбка</x:v>
      </x:c>
      <x:c r="D83" s="48" t="str">
        <x:v>Костюмы</x:v>
      </x:c>
      <x:c r="E83" s="56" t="n">
        <x:v>6100</x:v>
      </x:c>
      <x:c r="F83" s="64" t="n">
        <x:v>0.27138500409184496</x:v>
      </x:c>
      <x:c r="G83" s="56" t="n">
        <x:v>1925.9075375026255</x:v>
      </x:c>
      <x:c r="H83" s="64" t="n">
        <x:v>0.2020598907591611</x:v>
      </x:c>
      <x:c r="I83" s="56" t="n">
        <x:v>42</x:v>
      </x:c>
      <x:c r="J83" s="56" t="n">
        <x:v>16</x:v>
      </x:c>
      <x:c r="K83" s="56" t="n">
        <x:v>26</x:v>
      </x:c>
      <x:c r="L83" s="56" t="n">
        <x:v>4444.551475039746</x:v>
      </x:c>
      <x:c r="M83" s="56" t="n">
        <x:v>4758.649198672332</x:v>
      </x:c>
      <x:c r="N83" s="56" t="n">
        <x:v>964.6510624038764</x:v>
      </x:c>
      <x:c r="O83" s="56" t="n">
        <x:v>514.4633957771674</x:v>
      </x:c>
      <x:c r="P83" s="56" t="n">
        <x:v>0</x:v>
      </x:c>
      <x:c r="Q83" s="56" t="n">
        <x:v>5520.070944075772</x:v>
      </x:c>
      <x:c r="R83" s="68" t="n">
        <x:f>IFERROR(K83/I83,0)</x:f>
        <x:v>0.6190476190476191</x:v>
      </x:c>
      <x:c r="S83" s="60" t="n">
        <x:f>K83*L83</x:f>
        <x:v>115558.3383510334</x:v>
      </x:c>
      <x:c r="T83" s="60" t="n">
        <x:f>S83*H83</x:f>
        <x:v>23349.705223519984</x:v>
      </x:c>
      <x:c r="U83" s="60" t="n">
        <x:f>K83*G83</x:f>
        <x:v>50073.59597506826</x:v>
      </x:c>
      <x:c r="V83" s="60" t="n">
        <x:f>S83-T83-M83-N83-O83-P83-Q83-U83</x:f>
        <x:v>30377.202551516</x:v>
      </x:c>
      <x:c r="W83" s="68" t="n">
        <x:f>IFERROR(V83/S83,0)</x:f>
        <x:v>0.26287330698057193</x:v>
      </x:c>
      <x:c r="X83" s="72" t="n">
        <x:f>IFERROR(S83/Q83,0)</x:f>
        <x:v>20.934212534904546</x:v>
      </x:c>
      <x:c r="Y83" s="30" t="str">
        <x:v>Моделируемые данные Unitmetra</x:v>
      </x:c>
    </x:row>
    <x:row r="84">
      <x:c r="A84" s="48" t="str">
        <x:v>2026-01</x:v>
      </x:c>
      <x:c r="B84" s="48" t="str">
        <x:v>UM-014</x:v>
      </x:c>
      <x:c r="C84" s="48" t="str">
        <x:v>Жакет и юбка</x:v>
      </x:c>
      <x:c r="D84" s="48" t="str">
        <x:v>Костюмы</x:v>
      </x:c>
      <x:c r="E84" s="56" t="n">
        <x:v>6100</x:v>
      </x:c>
      <x:c r="F84" s="64" t="n">
        <x:v>0.24138500409184493</x:v>
      </x:c>
      <x:c r="G84" s="56" t="n">
        <x:v>1925.9075375026255</x:v>
      </x:c>
      <x:c r="H84" s="64" t="n">
        <x:v>0.2020598907591611</x:v>
      </x:c>
      <x:c r="I84" s="56" t="n">
        <x:v>24</x:v>
      </x:c>
      <x:c r="J84" s="56" t="n">
        <x:v>9</x:v>
      </x:c>
      <x:c r="K84" s="56" t="n">
        <x:v>15</x:v>
      </x:c>
      <x:c r="L84" s="56" t="n">
        <x:v>4627.551475039746</x:v>
      </x:c>
      <x:c r="M84" s="56" t="n">
        <x:v>2879.4450328552202</x:v>
      </x:c>
      <x:c r="N84" s="56" t="n">
        <x:v>634.4440387116231</x:v>
      </x:c>
      <x:c r="O84" s="56" t="n">
        <x:v>806.5362585592209</x:v>
      </x:c>
      <x:c r="P84" s="56" t="n">
        <x:v>0</x:v>
      </x:c>
      <x:c r="Q84" s="56" t="n">
        <x:v>4475.189205225678</x:v>
      </x:c>
      <x:c r="R84" s="68" t="n">
        <x:f>IFERROR(K84/I84,0)</x:f>
        <x:v>0.625</x:v>
      </x:c>
      <x:c r="S84" s="60" t="n">
        <x:f>K84*L84</x:f>
        <x:v>69413.2721255962</x:v>
      </x:c>
      <x:c r="T84" s="60" t="n">
        <x:f>S84*H84</x:f>
        <x:v>14025.638182933888</x:v>
      </x:c>
      <x:c r="U84" s="60" t="n">
        <x:f>K84*G84</x:f>
        <x:v>28888.61306253938</x:v>
      </x:c>
      <x:c r="V84" s="60" t="n">
        <x:f>S84-T84-M84-N84-O84-P84-Q84-U84</x:f>
        <x:v>17703.406344771178</x:v>
      </x:c>
      <x:c r="W84" s="68" t="n">
        <x:f>IFERROR(V84/S84,0)</x:f>
        <x:v>0.2550435356618642</x:v>
      </x:c>
      <x:c r="X84" s="72" t="n">
        <x:f>IFERROR(S84/Q84,0)</x:f>
        <x:v>15.51068992670574</x:v>
      </x:c>
      <x:c r="Y84" s="30" t="str">
        <x:v>Моделируемые данные Unitmetra</x:v>
      </x:c>
    </x:row>
    <x:row r="85">
      <x:c r="A85" s="48" t="str">
        <x:v>2026-02</x:v>
      </x:c>
      <x:c r="B85" s="48" t="str">
        <x:v>UM-014</x:v>
      </x:c>
      <x:c r="C85" s="48" t="str">
        <x:v>Жакет и юбка</x:v>
      </x:c>
      <x:c r="D85" s="48" t="str">
        <x:v>Костюмы</x:v>
      </x:c>
      <x:c r="E85" s="56" t="n">
        <x:v>6100</x:v>
      </x:c>
      <x:c r="F85" s="64" t="n">
        <x:v>0.22138500409184492</x:v>
      </x:c>
      <x:c r="G85" s="56" t="n">
        <x:v>1925.9075375026255</x:v>
      </x:c>
      <x:c r="H85" s="64" t="n">
        <x:v>0.2020598907591611</x:v>
      </x:c>
      <x:c r="I85" s="56" t="n">
        <x:v>29</x:v>
      </x:c>
      <x:c r="J85" s="56" t="n">
        <x:v>12</x:v>
      </x:c>
      <x:c r="K85" s="56" t="n">
        <x:v>17</x:v>
      </x:c>
      <x:c r="L85" s="56" t="n">
        <x:v>4749.551475039746</x:v>
      </x:c>
      <x:c r="M85" s="56" t="n">
        <x:v>2379.646219286038</x:v>
      </x:c>
      <x:c r="N85" s="56" t="n">
        <x:v>902.0151952404402</x:v>
      </x:c>
      <x:c r="O85" s="56" t="n">
        <x:v>773.299640675248</x:v>
      </x:c>
      <x:c r="P85" s="56" t="n">
        <x:v>0</x:v>
      </x:c>
      <x:c r="Q85" s="56" t="n">
        <x:v>3260.6157871252817</x:v>
      </x:c>
      <x:c r="R85" s="68" t="n">
        <x:f>IFERROR(K85/I85,0)</x:f>
        <x:v>0.5862068965517241</x:v>
      </x:c>
      <x:c r="S85" s="60" t="n">
        <x:f>K85*L85</x:f>
        <x:v>80742.37507567568</x:v>
      </x:c>
      <x:c r="T85" s="60" t="n">
        <x:f>S85*H85</x:f>
        <x:v>16314.795487426238</x:v>
      </x:c>
      <x:c r="U85" s="60" t="n">
        <x:f>K85*G85</x:f>
        <x:v>32740.428137544634</x:v>
      </x:c>
      <x:c r="V85" s="60" t="n">
        <x:f>S85-T85-M85-N85-O85-P85-Q85-U85</x:f>
        <x:v>24371.574608377803</x:v>
      </x:c>
      <x:c r="W85" s="68" t="n">
        <x:f>IFERROR(V85/S85,0)</x:f>
        <x:v>0.30184366741175966</x:v>
      </x:c>
      <x:c r="X85" s="72" t="n">
        <x:f>IFERROR(S85/Q85,0)</x:f>
        <x:v>24.76292220460053</x:v>
      </x:c>
      <x:c r="Y85" s="30" t="str">
        <x:v>Моделируемые данные Unitmetra</x:v>
      </x:c>
    </x:row>
    <x:row r="86">
      <x:c r="A86" s="48" t="str">
        <x:v>2025-09</x:v>
      </x:c>
      <x:c r="B86" s="48" t="str">
        <x:v>UM-015</x:v>
      </x:c>
      <x:c r="C86" s="48" t="str">
        <x:v>Льняной комплект</x:v>
      </x:c>
      <x:c r="D86" s="48" t="str">
        <x:v>Костюмы</x:v>
      </x:c>
      <x:c r="E86" s="56" t="n">
        <x:v>4500</x:v>
      </x:c>
      <x:c r="F86" s="64" t="n">
        <x:v>0.29390362632792233</x:v>
      </x:c>
      <x:c r="G86" s="56" t="n">
        <x:v>1705.6335729821078</x:v>
      </x:c>
      <x:c r="H86" s="64" t="n">
        <x:v>0.18930544865108317</x:v>
      </x:c>
      <x:c r="I86" s="56" t="n">
        <x:v>46</x:v>
      </x:c>
      <x:c r="J86" s="56" t="n">
        <x:v>22</x:v>
      </x:c>
      <x:c r="K86" s="56" t="n">
        <x:v>24</x:v>
      </x:c>
      <x:c r="L86" s="56" t="n">
        <x:v>3177.4336815243496</x:v>
      </x:c>
      <x:c r="M86" s="56" t="n">
        <x:v>5057.830234587381</x:v>
      </x:c>
      <x:c r="N86" s="56" t="n">
        <x:v>1738.9170263361973</x:v>
      </x:c>
      <x:c r="O86" s="56" t="n">
        <x:v>695.3726541525594</x:v>
      </x:c>
      <x:c r="P86" s="56" t="n">
        <x:v>0</x:v>
      </x:c>
      <x:c r="Q86" s="56" t="n">
        <x:v>6203.988678608902</x:v>
      </x:c>
      <x:c r="R86" s="68" t="n">
        <x:f>IFERROR(K86/I86,0)</x:f>
        <x:v>0.5217391304347826</x:v>
      </x:c>
      <x:c r="S86" s="60" t="n">
        <x:f>K86*L86</x:f>
        <x:v>76258.40835658439</x:v>
      </x:c>
      <x:c r="T86" s="60" t="n">
        <x:f>S86*H86</x:f>
        <x:v>14436.132207360719</x:v>
      </x:c>
      <x:c r="U86" s="60" t="n">
        <x:f>K86*G86</x:f>
        <x:v>40935.20575157059</x:v>
      </x:c>
      <x:c r="V86" s="60" t="n">
        <x:f>S86-T86-M86-N86-O86-P86-Q86-U86</x:f>
        <x:v>7190.961803968043</x:v>
      </x:c>
      <x:c r="W86" s="68" t="n">
        <x:f>IFERROR(V86/S86,0)</x:f>
        <x:v>0.09429729729399935</x:v>
      </x:c>
      <x:c r="X86" s="72" t="n">
        <x:f>IFERROR(S86/Q86,0)</x:f>
        <x:v>12.291835512131131</x:v>
      </x:c>
      <x:c r="Y86" s="30" t="str">
        <x:v>Моделируемые данные Unitmetra</x:v>
      </x:c>
    </x:row>
    <x:row r="87">
      <x:c r="A87" s="48" t="str">
        <x:v>2025-10</x:v>
      </x:c>
      <x:c r="B87" s="48" t="str">
        <x:v>UM-015</x:v>
      </x:c>
      <x:c r="C87" s="48" t="str">
        <x:v>Льняной комплект</x:v>
      </x:c>
      <x:c r="D87" s="48" t="str">
        <x:v>Костюмы</x:v>
      </x:c>
      <x:c r="E87" s="56" t="n">
        <x:v>4500</x:v>
      </x:c>
      <x:c r="F87" s="64" t="n">
        <x:v>0.30390362632792234</x:v>
      </x:c>
      <x:c r="G87" s="56" t="n">
        <x:v>1705.6335729821078</x:v>
      </x:c>
      <x:c r="H87" s="64" t="n">
        <x:v>0.18930544865108317</x:v>
      </x:c>
      <x:c r="I87" s="56" t="n">
        <x:v>50</x:v>
      </x:c>
      <x:c r="J87" s="56" t="n">
        <x:v>23</x:v>
      </x:c>
      <x:c r="K87" s="56" t="n">
        <x:v>27</x:v>
      </x:c>
      <x:c r="L87" s="56" t="n">
        <x:v>3132.4336815243496</x:v>
      </x:c>
      <x:c r="M87" s="56" t="n">
        <x:v>5067.6800265479205</x:v>
      </x:c>
      <x:c r="N87" s="56" t="n">
        <x:v>1311.5877513293165</x:v>
      </x:c>
      <x:c r="O87" s="56" t="n">
        <x:v>379.27743746658996</x:v>
      </x:c>
      <x:c r="P87" s="56" t="n">
        <x:v>0</x:v>
      </x:c>
      <x:c r="Q87" s="56" t="n">
        <x:v>8100.48466124945</x:v>
      </x:c>
      <x:c r="R87" s="68" t="n">
        <x:f>IFERROR(K87/I87,0)</x:f>
        <x:v>0.54</x:v>
      </x:c>
      <x:c r="S87" s="60" t="n">
        <x:f>K87*L87</x:f>
        <x:v>84575.70940115744</x:v>
      </x:c>
      <x:c r="T87" s="60" t="n">
        <x:f>S87*H87</x:f>
        <x:v>16010.642613169743</x:v>
      </x:c>
      <x:c r="U87" s="60" t="n">
        <x:f>K87*G87</x:f>
        <x:v>46052.10647051691</x:v>
      </x:c>
      <x:c r="V87" s="60" t="n">
        <x:f>S87-T87-M87-N87-O87-P87-Q87-U87</x:f>
        <x:v>7653.930440877513</x:v>
      </x:c>
      <x:c r="W87" s="68" t="n">
        <x:f>IFERROR(V87/S87,0)</x:f>
        <x:v>0.09049797506957438</x:v>
      </x:c>
      <x:c r="X87" s="72" t="n">
        <x:f>IFERROR(S87/Q87,0)</x:f>
        <x:v>10.44082088146466</x:v>
      </x:c>
      <x:c r="Y87" s="30" t="str">
        <x:v>Моделируемые данные Unitmetra</x:v>
      </x:c>
    </x:row>
    <x:row r="88">
      <x:c r="A88" s="48" t="str">
        <x:v>2025-11</x:v>
      </x:c>
      <x:c r="B88" s="48" t="str">
        <x:v>UM-015</x:v>
      </x:c>
      <x:c r="C88" s="48" t="str">
        <x:v>Льняной комплект</x:v>
      </x:c>
      <x:c r="D88" s="48" t="str">
        <x:v>Костюмы</x:v>
      </x:c>
      <x:c r="E88" s="56" t="n">
        <x:v>4500</x:v>
      </x:c>
      <x:c r="F88" s="64" t="n">
        <x:v>0.33390362632792225</x:v>
      </x:c>
      <x:c r="G88" s="56" t="n">
        <x:v>1705.6335729821078</x:v>
      </x:c>
      <x:c r="H88" s="64" t="n">
        <x:v>0.18930544865108317</x:v>
      </x:c>
      <x:c r="I88" s="56" t="n">
        <x:v>57</x:v>
      </x:c>
      <x:c r="J88" s="56" t="n">
        <x:v>26</x:v>
      </x:c>
      <x:c r="K88" s="56" t="n">
        <x:v>31</x:v>
      </x:c>
      <x:c r="L88" s="56" t="n">
        <x:v>2997.43368152435</x:v>
      </x:c>
      <x:c r="M88" s="56" t="n">
        <x:v>6436.730283708905</x:v>
      </x:c>
      <x:c r="N88" s="56" t="n">
        <x:v>1561.0406618907396</x:v>
      </x:c>
      <x:c r="O88" s="56" t="n">
        <x:v>1170.5486479060335</x:v>
      </x:c>
      <x:c r="P88" s="56" t="n">
        <x:v>0</x:v>
      </x:c>
      <x:c r="Q88" s="56" t="n">
        <x:v>8319.166363479346</x:v>
      </x:c>
      <x:c r="R88" s="68" t="n">
        <x:f>IFERROR(K88/I88,0)</x:f>
        <x:v>0.543859649122807</x:v>
      </x:c>
      <x:c r="S88" s="60" t="n">
        <x:f>K88*L88</x:f>
        <x:v>92920.44412725486</x:v>
      </x:c>
      <x:c r="T88" s="60" t="n">
        <x:f>S88*H88</x:f>
        <x:v>17590.346364367888</x:v>
      </x:c>
      <x:c r="U88" s="60" t="n">
        <x:f>K88*G88</x:f>
        <x:v>52874.64076244534</x:v>
      </x:c>
      <x:c r="V88" s="60" t="n">
        <x:f>S88-T88-M88-N88-O88-P88-Q88-U88</x:f>
        <x:v>4967.9710434566005</x:v>
      </x:c>
      <x:c r="W88" s="68" t="n">
        <x:f>IFERROR(V88/S88,0)</x:f>
        <x:v>0.0534647793617188</x:v>
      </x:c>
      <x:c r="X88" s="72" t="n">
        <x:f>IFERROR(S88/Q88,0)</x:f>
        <x:v>11.169441752622015</x:v>
      </x:c>
      <x:c r="Y88" s="30" t="str">
        <x:v>Моделируемые данные Unitmetra</x:v>
      </x:c>
    </x:row>
    <x:row r="89">
      <x:c r="A89" s="48" t="str">
        <x:v>2025-12</x:v>
      </x:c>
      <x:c r="B89" s="48" t="str">
        <x:v>UM-015</x:v>
      </x:c>
      <x:c r="C89" s="48" t="str">
        <x:v>Льняной комплект</x:v>
      </x:c>
      <x:c r="D89" s="48" t="str">
        <x:v>Костюмы</x:v>
      </x:c>
      <x:c r="E89" s="56" t="n">
        <x:v>4500</x:v>
      </x:c>
      <x:c r="F89" s="64" t="n">
        <x:v>0.35390362632792227</x:v>
      </x:c>
      <x:c r="G89" s="56" t="n">
        <x:v>1705.6335729821078</x:v>
      </x:c>
      <x:c r="H89" s="64" t="n">
        <x:v>0.18930544865108317</x:v>
      </x:c>
      <x:c r="I89" s="56" t="n">
        <x:v>60</x:v>
      </x:c>
      <x:c r="J89" s="56" t="n">
        <x:v>31</x:v>
      </x:c>
      <x:c r="K89" s="56" t="n">
        <x:v>29</x:v>
      </x:c>
      <x:c r="L89" s="56" t="n">
        <x:v>2907.4336815243496</x:v>
      </x:c>
      <x:c r="M89" s="56" t="n">
        <x:v>5746.75564305301</x:v>
      </x:c>
      <x:c r="N89" s="56" t="n">
        <x:v>2391.151727178927</x:v>
      </x:c>
      <x:c r="O89" s="56" t="n">
        <x:v>872.3911060955993</x:v>
      </x:c>
      <x:c r="P89" s="56" t="n">
        <x:v>0</x:v>
      </x:c>
      <x:c r="Q89" s="56" t="n">
        <x:v>7780.674808081479</x:v>
      </x:c>
      <x:c r="R89" s="68" t="n">
        <x:f>IFERROR(K89/I89,0)</x:f>
        <x:v>0.48333333333333334</x:v>
      </x:c>
      <x:c r="S89" s="60" t="n">
        <x:f>K89*L89</x:f>
        <x:v>84315.57676420614</x:v>
      </x:c>
      <x:c r="T89" s="60" t="n">
        <x:f>S89*H89</x:f>
        <x:v>15961.398087622887</x:v>
      </x:c>
      <x:c r="U89" s="60" t="n">
        <x:f>K89*G89</x:f>
        <x:v>49463.37361648113</x:v>
      </x:c>
      <x:c r="V89" s="60" t="n">
        <x:f>S89-T89-M89-N89-O89-P89-Q89-U89</x:f>
        <x:v>2099.8317756931065</x:v>
      </x:c>
      <x:c r="W89" s="68" t="n">
        <x:f>IFERROR(V89/S89,0)</x:f>
        <x:v>0.02490443469971651</x:v>
      </x:c>
      <x:c r="X89" s="72" t="n">
        <x:f>IFERROR(S89/Q89,0)</x:f>
        <x:v>10.836537812456946</x:v>
      </x:c>
      <x:c r="Y89" s="30" t="str">
        <x:v>Моделируемые данные Unitmetra</x:v>
      </x:c>
    </x:row>
    <x:row r="90">
      <x:c r="A90" s="48" t="str">
        <x:v>2026-01</x:v>
      </x:c>
      <x:c r="B90" s="48" t="str">
        <x:v>UM-015</x:v>
      </x:c>
      <x:c r="C90" s="48" t="str">
        <x:v>Льняной комплект</x:v>
      </x:c>
      <x:c r="D90" s="48" t="str">
        <x:v>Костюмы</x:v>
      </x:c>
      <x:c r="E90" s="56" t="n">
        <x:v>4500</x:v>
      </x:c>
      <x:c r="F90" s="64" t="n">
        <x:v>0.32390362632792236</x:v>
      </x:c>
      <x:c r="G90" s="56" t="n">
        <x:v>1705.6335729821078</x:v>
      </x:c>
      <x:c r="H90" s="64" t="n">
        <x:v>0.18930544865108317</x:v>
      </x:c>
      <x:c r="I90" s="56" t="n">
        <x:v>40</x:v>
      </x:c>
      <x:c r="J90" s="56" t="n">
        <x:v>16</x:v>
      </x:c>
      <x:c r="K90" s="56" t="n">
        <x:v>24</x:v>
      </x:c>
      <x:c r="L90" s="56" t="n">
        <x:v>3042.4336815243496</x:v>
      </x:c>
      <x:c r="M90" s="56" t="n">
        <x:v>3550.702746365812</x:v>
      </x:c>
      <x:c r="N90" s="56" t="n">
        <x:v>980.0220838888072</x:v>
      </x:c>
      <x:c r="O90" s="56" t="n">
        <x:v>322.32771405975274</x:v>
      </x:c>
      <x:c r="P90" s="56" t="n">
        <x:v>198.32358274365663</x:v>
      </x:c>
      <x:c r="Q90" s="56" t="n">
        <x:v>6707.1646922191785</x:v>
      </x:c>
      <x:c r="R90" s="68" t="n">
        <x:f>IFERROR(K90/I90,0)</x:f>
        <x:v>0.6</x:v>
      </x:c>
      <x:c r="S90" s="60" t="n">
        <x:f>K90*L90</x:f>
        <x:v>73018.40835658439</x:v>
      </x:c>
      <x:c r="T90" s="60" t="n">
        <x:f>S90*H90</x:f>
        <x:v>13822.78255373121</x:v>
      </x:c>
      <x:c r="U90" s="60" t="n">
        <x:f>K90*G90</x:f>
        <x:v>40935.20575157059</x:v>
      </x:c>
      <x:c r="V90" s="60" t="n">
        <x:f>S90-T90-M90-N90-O90-P90-Q90-U90</x:f>
        <x:v>6501.879232005391</x:v>
      </x:c>
      <x:c r="W90" s="68" t="n">
        <x:f>IFERROR(V90/S90,0)</x:f>
        <x:v>0.08904438453730124</x:v>
      </x:c>
      <x:c r="X90" s="72" t="n">
        <x:f>IFERROR(S90/Q90,0)</x:f>
        <x:v>10.886628211364975</x:v>
      </x:c>
      <x:c r="Y90" s="30" t="str">
        <x:v>Моделируемые данные Unitmetra</x:v>
      </x:c>
    </x:row>
    <x:row r="91">
      <x:c r="A91" s="48" t="str">
        <x:v>2026-02</x:v>
      </x:c>
      <x:c r="B91" s="48" t="str">
        <x:v>UM-015</x:v>
      </x:c>
      <x:c r="C91" s="48" t="str">
        <x:v>Льняной комплект</x:v>
      </x:c>
      <x:c r="D91" s="48" t="str">
        <x:v>Костюмы</x:v>
      </x:c>
      <x:c r="E91" s="56" t="n">
        <x:v>4500</x:v>
      </x:c>
      <x:c r="F91" s="64" t="n">
        <x:v>0.30390362632792234</x:v>
      </x:c>
      <x:c r="G91" s="56" t="n">
        <x:v>1705.6335729821078</x:v>
      </x:c>
      <x:c r="H91" s="64" t="n">
        <x:v>0.18930544865108317</x:v>
      </x:c>
      <x:c r="I91" s="56" t="n">
        <x:v>39</x:v>
      </x:c>
      <x:c r="J91" s="56" t="n">
        <x:v>19</x:v>
      </x:c>
      <x:c r="K91" s="56" t="n">
        <x:v>20</x:v>
      </x:c>
      <x:c r="L91" s="56" t="n">
        <x:v>3132.4336815243496</x:v>
      </x:c>
      <x:c r="M91" s="56" t="n">
        <x:v>3334.049562153355</x:v>
      </x:c>
      <x:c r="N91" s="56" t="n">
        <x:v>1417.5177006453766</x:v>
      </x:c>
      <x:c r="O91" s="56" t="n">
        <x:v>830.49876961519</x:v>
      </x:c>
      <x:c r="P91" s="56" t="n">
        <x:v>0</x:v>
      </x:c>
      <x:c r="Q91" s="56" t="n">
        <x:v>6139.908681295226</x:v>
      </x:c>
      <x:c r="R91" s="68" t="n">
        <x:f>IFERROR(K91/I91,0)</x:f>
        <x:v>0.5128205128205128</x:v>
      </x:c>
      <x:c r="S91" s="60" t="n">
        <x:f>K91*L91</x:f>
        <x:v>62648.67363048699</x:v>
      </x:c>
      <x:c r="T91" s="60" t="n">
        <x:f>S91*H91</x:f>
        <x:v>11859.735269014624</x:v>
      </x:c>
      <x:c r="U91" s="60" t="n">
        <x:f>K91*G91</x:f>
        <x:v>34112.67145964216</x:v>
      </x:c>
      <x:c r="V91" s="60" t="n">
        <x:f>S91-T91-M91-N91-O91-P91-Q91-U91</x:f>
        <x:v>4954.292188121071</x:v>
      </x:c>
      <x:c r="W91" s="68" t="n">
        <x:f>IFERROR(V91/S91,0)</x:f>
        <x:v>0.07908055990686039</x:v>
      </x:c>
      <x:c r="X91" s="72" t="n">
        <x:f>IFERROR(S91/Q91,0)</x:f>
        <x:v>10.203518795212949</x:v>
      </x:c>
      <x:c r="Y91" s="30" t="str">
        <x:v>Моделируемые данные Unitmetra</x:v>
      </x:c>
    </x:row>
    <x:row r="92">
      <x:c r="A92" s="48" t="str">
        <x:v>2025-09</x:v>
      </x:c>
      <x:c r="B92" s="48" t="str">
        <x:v>UM-016</x:v>
      </x:c>
      <x:c r="C92" s="48" t="str">
        <x:v>Костюм oversize</x:v>
      </x:c>
      <x:c r="D92" s="48" t="str">
        <x:v>Костюмы</x:v>
      </x:c>
      <x:c r="E92" s="56" t="n">
        <x:v>6200</x:v>
      </x:c>
      <x:c r="F92" s="64" t="n">
        <x:v>0.21189784034300618</x:v>
      </x:c>
      <x:c r="G92" s="56" t="n">
        <x:v>1876.5477220127987</x:v>
      </x:c>
      <x:c r="H92" s="64" t="n">
        <x:v>0.21159108387903447</x:v>
      </x:c>
      <x:c r="I92" s="56" t="n">
        <x:v>18</x:v>
      </x:c>
      <x:c r="J92" s="56" t="n">
        <x:v>7</x:v>
      </x:c>
      <x:c r="K92" s="56" t="n">
        <x:v>11</x:v>
      </x:c>
      <x:c r="L92" s="56" t="n">
        <x:v>4886.233389873361</x:v>
      </x:c>
      <x:c r="M92" s="56" t="n">
        <x:v>1598.9745032704327</x:v>
      </x:c>
      <x:c r="N92" s="56" t="n">
        <x:v>522.7755146099632</x:v>
      </x:c>
      <x:c r="O92" s="56" t="n">
        <x:v>479.7059914899952</x:v>
      </x:c>
      <x:c r="P92" s="56" t="n">
        <x:v>0</x:v>
      </x:c>
      <x:c r="Q92" s="56" t="n">
        <x:v>2948.1265646499483</x:v>
      </x:c>
      <x:c r="R92" s="68" t="n">
        <x:f>IFERROR(K92/I92,0)</x:f>
        <x:v>0.6111111111111112</x:v>
      </x:c>
      <x:c r="S92" s="60" t="n">
        <x:f>K92*L92</x:f>
        <x:v>53748.56728860697</x:v>
      </x:c>
      <x:c r="T92" s="60" t="n">
        <x:f>S92*H92</x:f>
        <x:v>11372.717609541567</x:v>
      </x:c>
      <x:c r="U92" s="60" t="n">
        <x:f>K92*G92</x:f>
        <x:v>20642.024942140786</x:v>
      </x:c>
      <x:c r="V92" s="60" t="n">
        <x:f>S92-T92-M92-N92-O92-P92-Q92-U92</x:f>
        <x:v>16184.24216290428</x:v>
      </x:c>
      <x:c r="W92" s="68" t="n">
        <x:f>IFERROR(V92/S92,0)</x:f>
        <x:v>0.301110205896313</x:v>
      </x:c>
      <x:c r="X92" s="72" t="n">
        <x:f>IFERROR(S92/Q92,0)</x:f>
        <x:v>18.231431422615643</x:v>
      </x:c>
      <x:c r="Y92" s="30" t="str">
        <x:v>Моделируемые данные Unitmetra</x:v>
      </x:c>
    </x:row>
    <x:row r="93">
      <x:c r="A93" s="48" t="str">
        <x:v>2025-10</x:v>
      </x:c>
      <x:c r="B93" s="48" t="str">
        <x:v>UM-016</x:v>
      </x:c>
      <x:c r="C93" s="48" t="str">
        <x:v>Костюм oversize</x:v>
      </x:c>
      <x:c r="D93" s="48" t="str">
        <x:v>Костюмы</x:v>
      </x:c>
      <x:c r="E93" s="56" t="n">
        <x:v>6200</x:v>
      </x:c>
      <x:c r="F93" s="64" t="n">
        <x:v>0.2218978403430062</x:v>
      </x:c>
      <x:c r="G93" s="56" t="n">
        <x:v>1876.5477220127987</x:v>
      </x:c>
      <x:c r="H93" s="64" t="n">
        <x:v>0.21159108387903447</x:v>
      </x:c>
      <x:c r="I93" s="56" t="n">
        <x:v>30</x:v>
      </x:c>
      <x:c r="J93" s="56" t="n">
        <x:v>15</x:v>
      </x:c>
      <x:c r="K93" s="56" t="n">
        <x:v>15</x:v>
      </x:c>
      <x:c r="L93" s="56" t="n">
        <x:v>4824.233389873361</x:v>
      </x:c>
      <x:c r="M93" s="56" t="n">
        <x:v>2431.8933179967503</x:v>
      </x:c>
      <x:c r="N93" s="56" t="n">
        <x:v>847.2566117157071</x:v>
      </x:c>
      <x:c r="O93" s="56" t="n">
        <x:v>304.7295506561072</x:v>
      </x:c>
      <x:c r="P93" s="56" t="n">
        <x:v>0</x:v>
      </x:c>
      <x:c r="Q93" s="56" t="n">
        <x:v>3386.5370095369854</x:v>
      </x:c>
      <x:c r="R93" s="68" t="n">
        <x:f>IFERROR(K93/I93,0)</x:f>
        <x:v>0.5</x:v>
      </x:c>
      <x:c r="S93" s="60" t="n">
        <x:f>K93*L93</x:f>
        <x:v>72363.50084810042</x:v>
      </x:c>
      <x:c r="T93" s="60" t="n">
        <x:f>S93*H93</x:f>
        <x:v>15311.471577730998</x:v>
      </x:c>
      <x:c r="U93" s="60" t="n">
        <x:f>K93*G93</x:f>
        <x:v>28148.21583019198</x:v>
      </x:c>
      <x:c r="V93" s="60" t="n">
        <x:f>S93-T93-M93-N93-O93-P93-Q93-U93</x:f>
        <x:v>21933.396950271894</x:v>
      </x:c>
      <x:c r="W93" s="68" t="n">
        <x:f>IFERROR(V93/S93,0)</x:f>
        <x:v>0.3031002742157638</x:v>
      </x:c>
      <x:c r="X93" s="72" t="n">
        <x:f>IFERROR(S93/Q93,0)</x:f>
        <x:v>21.367993512049086</x:v>
      </x:c>
      <x:c r="Y93" s="30" t="str">
        <x:v>Моделируемые данные Unitmetra</x:v>
      </x:c>
    </x:row>
    <x:row r="94">
      <x:c r="A94" s="48" t="str">
        <x:v>2025-11</x:v>
      </x:c>
      <x:c r="B94" s="48" t="str">
        <x:v>UM-016</x:v>
      </x:c>
      <x:c r="C94" s="48" t="str">
        <x:v>Костюм oversize</x:v>
      </x:c>
      <x:c r="D94" s="48" t="str">
        <x:v>Костюмы</x:v>
      </x:c>
      <x:c r="E94" s="56" t="n">
        <x:v>6200</x:v>
      </x:c>
      <x:c r="F94" s="64" t="n">
        <x:v>0.2518978403430061</x:v>
      </x:c>
      <x:c r="G94" s="56" t="n">
        <x:v>1876.5477220127987</x:v>
      </x:c>
      <x:c r="H94" s="64" t="n">
        <x:v>0.21159108387903447</x:v>
      </x:c>
      <x:c r="I94" s="56" t="n">
        <x:v>31</x:v>
      </x:c>
      <x:c r="J94" s="56" t="n">
        <x:v>13</x:v>
      </x:c>
      <x:c r="K94" s="56" t="n">
        <x:v>18</x:v>
      </x:c>
      <x:c r="L94" s="56" t="n">
        <x:v>4638.233389873362</x:v>
      </x:c>
      <x:c r="M94" s="56" t="n">
        <x:v>3175.9166041836547</x:v>
      </x:c>
      <x:c r="N94" s="56" t="n">
        <x:v>865.2940975342701</x:v>
      </x:c>
      <x:c r="O94" s="56" t="n">
        <x:v>330.6106450918287</x:v>
      </x:c>
      <x:c r="P94" s="56" t="n">
        <x:v>0</x:v>
      </x:c>
      <x:c r="Q94" s="56" t="n">
        <x:v>5045.833867145849</x:v>
      </x:c>
      <x:c r="R94" s="68" t="n">
        <x:f>IFERROR(K94/I94,0)</x:f>
        <x:v>0.5806451612903226</x:v>
      </x:c>
      <x:c r="S94" s="60" t="n">
        <x:f>K94*L94</x:f>
        <x:v>83488.20101772052</x:v>
      </x:c>
      <x:c r="T94" s="60" t="n">
        <x:f>S94*H94</x:f>
        <x:v>17665.358944450196</x:v>
      </x:c>
      <x:c r="U94" s="60" t="n">
        <x:f>K94*G94</x:f>
        <x:v>33777.858996230374</x:v>
      </x:c>
      <x:c r="V94" s="60" t="n">
        <x:f>S94-T94-M94-N94-O94-P94-Q94-U94</x:f>
        <x:v>22627.32786308434</x:v>
      </x:c>
      <x:c r="W94" s="68" t="n">
        <x:f>IFERROR(V94/S94,0)</x:f>
        <x:v>0.2710242595631166</x:v>
      </x:c>
      <x:c r="X94" s="72" t="n">
        <x:f>IFERROR(S94/Q94,0)</x:f>
        <x:v>16.545967072226503</x:v>
      </x:c>
      <x:c r="Y94" s="30" t="str">
        <x:v>Моделируемые данные Unitmetra</x:v>
      </x:c>
    </x:row>
    <x:row r="95">
      <x:c r="A95" s="48" t="str">
        <x:v>2025-12</x:v>
      </x:c>
      <x:c r="B95" s="48" t="str">
        <x:v>UM-016</x:v>
      </x:c>
      <x:c r="C95" s="48" t="str">
        <x:v>Костюм oversize</x:v>
      </x:c>
      <x:c r="D95" s="48" t="str">
        <x:v>Костюмы</x:v>
      </x:c>
      <x:c r="E95" s="56" t="n">
        <x:v>6200</x:v>
      </x:c>
      <x:c r="F95" s="64" t="n">
        <x:v>0.2718978403430061</x:v>
      </x:c>
      <x:c r="G95" s="56" t="n">
        <x:v>1876.5477220127987</x:v>
      </x:c>
      <x:c r="H95" s="64" t="n">
        <x:v>0.21159108387903447</x:v>
      </x:c>
      <x:c r="I95" s="56" t="n">
        <x:v>31</x:v>
      </x:c>
      <x:c r="J95" s="56" t="n">
        <x:v>15</x:v>
      </x:c>
      <x:c r="K95" s="56" t="n">
        <x:v>16</x:v>
      </x:c>
      <x:c r="L95" s="56" t="n">
        <x:v>4514.233389873362</x:v>
      </x:c>
      <x:c r="M95" s="56" t="n">
        <x:v>2481.3236566282067</x:v>
      </x:c>
      <x:c r="N95" s="56" t="n">
        <x:v>920.5247124783343</x:v>
      </x:c>
      <x:c r="O95" s="56" t="n">
        <x:v>319.21504928013104</x:v>
      </x:c>
      <x:c r="P95" s="56" t="n">
        <x:v>0</x:v>
      </x:c>
      <x:c r="Q95" s="56" t="n">
        <x:v>3921.6786866664165</x:v>
      </x:c>
      <x:c r="R95" s="68" t="n">
        <x:f>IFERROR(K95/I95,0)</x:f>
        <x:v>0.5161290322580645</x:v>
      </x:c>
      <x:c r="S95" s="60" t="n">
        <x:f>K95*L95</x:f>
        <x:v>72227.7342379738</x:v>
      </x:c>
      <x:c r="T95" s="60" t="n">
        <x:f>S95*H95</x:f>
        <x:v>15282.744573539723</x:v>
      </x:c>
      <x:c r="U95" s="60" t="n">
        <x:f>K95*G95</x:f>
        <x:v>30024.76355220478</x:v>
      </x:c>
      <x:c r="V95" s="60" t="n">
        <x:f>S95-T95-M95-N95-O95-P95-Q95-U95</x:f>
        <x:v>19277.48400717621</x:v>
      </x:c>
      <x:c r="W95" s="68" t="n">
        <x:f>IFERROR(V95/S95,0)</x:f>
        <x:v>0.26689863956775006</x:v>
      </x:c>
      <x:c r="X95" s="72" t="n">
        <x:f>IFERROR(S95/Q95,0)</x:f>
        <x:v>18.417555340152116</x:v>
      </x:c>
      <x:c r="Y95" s="30" t="str">
        <x:v>Моделируемые данные Unitmetra</x:v>
      </x:c>
    </x:row>
    <x:row r="96">
      <x:c r="A96" s="48" t="str">
        <x:v>2026-01</x:v>
      </x:c>
      <x:c r="B96" s="48" t="str">
        <x:v>UM-016</x:v>
      </x:c>
      <x:c r="C96" s="48" t="str">
        <x:v>Костюм oversize</x:v>
      </x:c>
      <x:c r="D96" s="48" t="str">
        <x:v>Костюмы</x:v>
      </x:c>
      <x:c r="E96" s="56" t="n">
        <x:v>6200</x:v>
      </x:c>
      <x:c r="F96" s="64" t="n">
        <x:v>0.2418978403430062</x:v>
      </x:c>
      <x:c r="G96" s="56" t="n">
        <x:v>1876.5477220127987</x:v>
      </x:c>
      <x:c r="H96" s="64" t="n">
        <x:v>0.21159108387903447</x:v>
      </x:c>
      <x:c r="I96" s="56" t="n">
        <x:v>21</x:v>
      </x:c>
      <x:c r="J96" s="56" t="n">
        <x:v>10</x:v>
      </x:c>
      <x:c r="K96" s="56" t="n">
        <x:v>11</x:v>
      </x:c>
      <x:c r="L96" s="56" t="n">
        <x:v>4700.233389873361</x:v>
      </x:c>
      <x:c r="M96" s="56" t="n">
        <x:v>2465.85523282783</x:v>
      </x:c>
      <x:c r="N96" s="56" t="n">
        <x:v>567.846007655002</x:v>
      </x:c>
      <x:c r="O96" s="56" t="n">
        <x:v>311.5155283839184</x:v>
      </x:c>
      <x:c r="P96" s="56" t="n">
        <x:v>0</x:v>
      </x:c>
      <x:c r="Q96" s="56" t="n">
        <x:v>3854.2166472036806</x:v>
      </x:c>
      <x:c r="R96" s="68" t="n">
        <x:f>IFERROR(K96/I96,0)</x:f>
        <x:v>0.5238095238095238</x:v>
      </x:c>
      <x:c r="S96" s="60" t="n">
        <x:f>K96*L96</x:f>
        <x:v>51702.56728860697</x:v>
      </x:c>
      <x:c r="T96" s="60" t="n">
        <x:f>S96*H96</x:f>
        <x:v>10939.802251925063</x:v>
      </x:c>
      <x:c r="U96" s="60" t="n">
        <x:f>K96*G96</x:f>
        <x:v>20642.024942140786</x:v>
      </x:c>
      <x:c r="V96" s="60" t="n">
        <x:f>S96-T96-M96-N96-O96-P96-Q96-U96</x:f>
        <x:v>12921.306678470697</x:v>
      </x:c>
      <x:c r="W96" s="68" t="n">
        <x:f>IFERROR(V96/S96,0)</x:f>
        <x:v>0.24991615225493838</x:v>
      </x:c>
      <x:c r="X96" s="72" t="n">
        <x:f>IFERROR(S96/Q96,0)</x:f>
        <x:v>13.41454620256449</x:v>
      </x:c>
      <x:c r="Y96" s="30" t="str">
        <x:v>Моделируемые данные Unitmetra</x:v>
      </x:c>
    </x:row>
    <x:row r="97">
      <x:c r="A97" s="48" t="str">
        <x:v>2026-02</x:v>
      </x:c>
      <x:c r="B97" s="48" t="str">
        <x:v>UM-016</x:v>
      </x:c>
      <x:c r="C97" s="48" t="str">
        <x:v>Костюм oversize</x:v>
      </x:c>
      <x:c r="D97" s="48" t="str">
        <x:v>Костюмы</x:v>
      </x:c>
      <x:c r="E97" s="56" t="n">
        <x:v>6200</x:v>
      </x:c>
      <x:c r="F97" s="64" t="n">
        <x:v>0.2218978403430062</x:v>
      </x:c>
      <x:c r="G97" s="56" t="n">
        <x:v>1876.5477220127987</x:v>
      </x:c>
      <x:c r="H97" s="64" t="n">
        <x:v>0.21159108387903447</x:v>
      </x:c>
      <x:c r="I97" s="56" t="n">
        <x:v>23</x:v>
      </x:c>
      <x:c r="J97" s="56" t="n">
        <x:v>10</x:v>
      </x:c>
      <x:c r="K97" s="56" t="n">
        <x:v>13</x:v>
      </x:c>
      <x:c r="L97" s="56" t="n">
        <x:v>4824.233389873361</x:v>
      </x:c>
      <x:c r="M97" s="56" t="n">
        <x:v>2030.4263468695726</x:v>
      </x:c>
      <x:c r="N97" s="56" t="n">
        <x:v>676.8202102816188</x:v>
      </x:c>
      <x:c r="O97" s="56" t="n">
        <x:v>327.78774533837105</x:v>
      </x:c>
      <x:c r="P97" s="56" t="n">
        <x:v>0</x:v>
      </x:c>
      <x:c r="Q97" s="56" t="n">
        <x:v>3820.8408437252674</x:v>
      </x:c>
      <x:c r="R97" s="68" t="n">
        <x:f>IFERROR(K97/I97,0)</x:f>
        <x:v>0.5652173913043478</x:v>
      </x:c>
      <x:c r="S97" s="60" t="n">
        <x:f>K97*L97</x:f>
        <x:v>62715.0340683537</x:v>
      </x:c>
      <x:c r="T97" s="60" t="n">
        <x:f>S97*H97</x:f>
        <x:v>13269.942034033533</x:v>
      </x:c>
      <x:c r="U97" s="60" t="n">
        <x:f>K97*G97</x:f>
        <x:v>24395.12038616638</x:v>
      </x:c>
      <x:c r="V97" s="60" t="n">
        <x:f>S97-T97-M97-N97-O97-P97-Q97-U97</x:f>
        <x:v>18194.096501938955</x:v>
      </x:c>
      <x:c r="W97" s="68" t="n">
        <x:f>IFERROR(V97/S97,0)</x:f>
        <x:v>0.2901074163829528</x:v>
      </x:c>
      <x:c r="X97" s="72" t="n">
        <x:f>IFERROR(S97/Q97,0)</x:f>
        <x:v>16.413935213068807</x:v>
      </x:c>
      <x:c r="Y97" s="30" t="str">
        <x:v>Моделируемые данные Unitmetra</x:v>
      </x:c>
    </x:row>
    <x:row r="98">
      <x:c r="A98" s="48" t="str">
        <x:v>2025-09</x:v>
      </x:c>
      <x:c r="B98" s="48" t="str">
        <x:v>UM-017</x:v>
      </x:c>
      <x:c r="C98" s="48" t="str">
        <x:v>Офисный комплект</x:v>
      </x:c>
      <x:c r="D98" s="48" t="str">
        <x:v>Костюмы</x:v>
      </x:c>
      <x:c r="E98" s="56" t="n">
        <x:v>5100</x:v>
      </x:c>
      <x:c r="F98" s="64" t="n">
        <x:v>0.23267513103070336</x:v>
      </x:c>
      <x:c r="G98" s="56" t="n">
        <x:v>1485.1849431588098</x:v>
      </x:c>
      <x:c r="H98" s="64" t="n">
        <x:v>0.20654818354423235</x:v>
      </x:c>
      <x:c r="I98" s="56" t="n">
        <x:v>44</x:v>
      </x:c>
      <x:c r="J98" s="56" t="n">
        <x:v>17</x:v>
      </x:c>
      <x:c r="K98" s="56" t="n">
        <x:v>27</x:v>
      </x:c>
      <x:c r="L98" s="56" t="n">
        <x:v>3913.356831743413</x:v>
      </x:c>
      <x:c r="M98" s="56" t="n">
        <x:v>4148.970537363615</x:v>
      </x:c>
      <x:c r="N98" s="56" t="n">
        <x:v>1070.0516604340057</x:v>
      </x:c>
      <x:c r="O98" s="56" t="n">
        <x:v>767.9728196909136</x:v>
      </x:c>
      <x:c r="P98" s="56" t="n">
        <x:v>0</x:v>
      </x:c>
      <x:c r="Q98" s="56" t="n">
        <x:v>8337.30175288621</x:v>
      </x:c>
      <x:c r="R98" s="68" t="n">
        <x:f>IFERROR(K98/I98,0)</x:f>
        <x:v>0.6136363636363636</x:v>
      </x:c>
      <x:c r="S98" s="60" t="n">
        <x:f>K98*L98</x:f>
        <x:v>105660.63445707214</x:v>
      </x:c>
      <x:c r="T98" s="60" t="n">
        <x:f>S98*H98</x:f>
        <x:v>21824.012119239378</x:v>
      </x:c>
      <x:c r="U98" s="60" t="n">
        <x:f>K98*G98</x:f>
        <x:v>40099.993465287866</x:v>
      </x:c>
      <x:c r="V98" s="60" t="n">
        <x:f>S98-T98-M98-N98-O98-P98-Q98-U98</x:f>
        <x:v>29412.33210217015</x:v>
      </x:c>
      <x:c r="W98" s="68" t="n">
        <x:f>IFERROR(V98/S98,0)</x:f>
        <x:v>0.27836603720300207</x:v>
      </x:c>
      <x:c r="X98" s="72" t="n">
        <x:f>IFERROR(S98/Q98,0)</x:f>
        <x:v>12.673241006359703</x:v>
      </x:c>
      <x:c r="Y98" s="30" t="str">
        <x:v>Моделируемые данные Unitmetra</x:v>
      </x:c>
    </x:row>
    <x:row r="99">
      <x:c r="A99" s="48" t="str">
        <x:v>2025-10</x:v>
      </x:c>
      <x:c r="B99" s="48" t="str">
        <x:v>UM-017</x:v>
      </x:c>
      <x:c r="C99" s="48" t="str">
        <x:v>Офисный комплект</x:v>
      </x:c>
      <x:c r="D99" s="48" t="str">
        <x:v>Костюмы</x:v>
      </x:c>
      <x:c r="E99" s="56" t="n">
        <x:v>5100</x:v>
      </x:c>
      <x:c r="F99" s="64" t="n">
        <x:v>0.24267513103070337</x:v>
      </x:c>
      <x:c r="G99" s="56" t="n">
        <x:v>1485.1849431588098</x:v>
      </x:c>
      <x:c r="H99" s="64" t="n">
        <x:v>0.20654818354423235</x:v>
      </x:c>
      <x:c r="I99" s="56" t="n">
        <x:v>42</x:v>
      </x:c>
      <x:c r="J99" s="56" t="n">
        <x:v>16</x:v>
      </x:c>
      <x:c r="K99" s="56" t="n">
        <x:v>26</x:v>
      </x:c>
      <x:c r="L99" s="56" t="n">
        <x:v>3862.356831743413</x:v>
      </x:c>
      <x:c r="M99" s="56" t="n">
        <x:v>3553.7484160264594</x:v>
      </x:c>
      <x:c r="N99" s="56" t="n">
        <x:v>1177.3932430289497</x:v>
      </x:c>
      <x:c r="O99" s="56" t="n">
        <x:v>1250.379140018832</x:v>
      </x:c>
      <x:c r="P99" s="56" t="n">
        <x:v>0</x:v>
      </x:c>
      <x:c r="Q99" s="56" t="n">
        <x:v>6042.082320794205</x:v>
      </x:c>
      <x:c r="R99" s="68" t="n">
        <x:f>IFERROR(K99/I99,0)</x:f>
        <x:v>0.6190476190476191</x:v>
      </x:c>
      <x:c r="S99" s="60" t="n">
        <x:f>K99*L99</x:f>
        <x:v>100421.27762532873</x:v>
      </x:c>
      <x:c r="T99" s="60" t="n">
        <x:f>S99*H99</x:f>
        <x:v>20741.832482702714</x:v>
      </x:c>
      <x:c r="U99" s="60" t="n">
        <x:f>K99*G99</x:f>
        <x:v>38614.80852212905</x:v>
      </x:c>
      <x:c r="V99" s="60" t="n">
        <x:f>S99-T99-M99-N99-O99-P99-Q99-U99</x:f>
        <x:v>29041.033500628517</x:v>
      </x:c>
      <x:c r="W99" s="68" t="n">
        <x:f>IFERROR(V99/S99,0)</x:f>
        <x:v>0.2891920336741827</x:v>
      </x:c>
      <x:c r="X99" s="72" t="n">
        <x:f>IFERROR(S99/Q99,0)</x:f>
        <x:v>16.620309405537657</x:v>
      </x:c>
      <x:c r="Y99" s="30" t="str">
        <x:v>Моделируемые данные Unitmetra</x:v>
      </x:c>
    </x:row>
    <x:row r="100">
      <x:c r="A100" s="48" t="str">
        <x:v>2025-11</x:v>
      </x:c>
      <x:c r="B100" s="48" t="str">
        <x:v>UM-017</x:v>
      </x:c>
      <x:c r="C100" s="48" t="str">
        <x:v>Офисный комплект</x:v>
      </x:c>
      <x:c r="D100" s="48" t="str">
        <x:v>Костюмы</x:v>
      </x:c>
      <x:c r="E100" s="56" t="n">
        <x:v>5100</x:v>
      </x:c>
      <x:c r="F100" s="64" t="n">
        <x:v>0.2726751310307034</x:v>
      </x:c>
      <x:c r="G100" s="56" t="n">
        <x:v>1485.1849431588098</x:v>
      </x:c>
      <x:c r="H100" s="64" t="n">
        <x:v>0.20654818354423235</x:v>
      </x:c>
      <x:c r="I100" s="56" t="n">
        <x:v>67</x:v>
      </x:c>
      <x:c r="J100" s="56" t="n">
        <x:v>29</x:v>
      </x:c>
      <x:c r="K100" s="56" t="n">
        <x:v>38</x:v>
      </x:c>
      <x:c r="L100" s="56" t="n">
        <x:v>3709.356831743413</x:v>
      </x:c>
      <x:c r="M100" s="56" t="n">
        <x:v>5478.389275890352</x:v>
      </x:c>
      <x:c r="N100" s="56" t="n">
        <x:v>1944.1005188419188</x:v>
      </x:c>
      <x:c r="O100" s="56" t="n">
        <x:v>1179.2777179676675</x:v>
      </x:c>
      <x:c r="P100" s="56" t="n">
        <x:v>0</x:v>
      </x:c>
      <x:c r="Q100" s="56" t="n">
        <x:v>10921.80205960205</x:v>
      </x:c>
      <x:c r="R100" s="68" t="n">
        <x:f>IFERROR(K100/I100,0)</x:f>
        <x:v>0.5671641791044776</x:v>
      </x:c>
      <x:c r="S100" s="60" t="n">
        <x:f>K100*L100</x:f>
        <x:v>140955.55960624968</x:v>
      </x:c>
      <x:c r="T100" s="60" t="n">
        <x:f>S100*H100</x:f>
        <x:v>29114.114797131642</x:v>
      </x:c>
      <x:c r="U100" s="60" t="n">
        <x:f>K100*G100</x:f>
        <x:v>56437.027840034774</x:v>
      </x:c>
      <x:c r="V100" s="60" t="n">
        <x:f>S100-T100-M100-N100-O100-P100-Q100-U100</x:f>
        <x:v>35880.847396781275</x:v>
      </x:c>
      <x:c r="W100" s="68" t="n">
        <x:f>IFERROR(V100/S100,0)</x:f>
        <x:v>0.25455432546975887</x:v>
      </x:c>
      <x:c r="X100" s="72" t="n">
        <x:f>IFERROR(S100/Q100,0)</x:f>
        <x:v>12.905888500545263</x:v>
      </x:c>
      <x:c r="Y100" s="30" t="str">
        <x:v>Моделируемые данные Unitmetra</x:v>
      </x:c>
    </x:row>
    <x:row r="101">
      <x:c r="A101" s="48" t="str">
        <x:v>2025-12</x:v>
      </x:c>
      <x:c r="B101" s="48" t="str">
        <x:v>UM-017</x:v>
      </x:c>
      <x:c r="C101" s="48" t="str">
        <x:v>Офисный комплект</x:v>
      </x:c>
      <x:c r="D101" s="48" t="str">
        <x:v>Костюмы</x:v>
      </x:c>
      <x:c r="E101" s="56" t="n">
        <x:v>5100</x:v>
      </x:c>
      <x:c r="F101" s="64" t="n">
        <x:v>0.2926751310307033</x:v>
      </x:c>
      <x:c r="G101" s="56" t="n">
        <x:v>1485.1849431588098</x:v>
      </x:c>
      <x:c r="H101" s="64" t="n">
        <x:v>0.20654818354423235</x:v>
      </x:c>
      <x:c r="I101" s="56" t="n">
        <x:v>68</x:v>
      </x:c>
      <x:c r="J101" s="56" t="n">
        <x:v>28</x:v>
      </x:c>
      <x:c r="K101" s="56" t="n">
        <x:v>40</x:v>
      </x:c>
      <x:c r="L101" s="56" t="n">
        <x:v>3607.3568317434133</x:v>
      </x:c>
      <x:c r="M101" s="56" t="n">
        <x:v>6796.299567503577</x:v>
      </x:c>
      <x:c r="N101" s="56" t="n">
        <x:v>1954.6845440673424</x:v>
      </x:c>
      <x:c r="O101" s="56" t="n">
        <x:v>658.1740883978151</x:v>
      </x:c>
      <x:c r="P101" s="56" t="n">
        <x:v>0</x:v>
      </x:c>
      <x:c r="Q101" s="56" t="n">
        <x:v>7266.976698204133</x:v>
      </x:c>
      <x:c r="R101" s="68" t="n">
        <x:f>IFERROR(K101/I101,0)</x:f>
        <x:v>0.5882352941176471</x:v>
      </x:c>
      <x:c r="S101" s="60" t="n">
        <x:f>K101*L101</x:f>
        <x:v>144294.27326973653</x:v>
      </x:c>
      <x:c r="T101" s="60" t="n">
        <x:f>S101*H101</x:f>
        <x:v>29803.72003969916</x:v>
      </x:c>
      <x:c r="U101" s="60" t="n">
        <x:f>K101*G101</x:f>
        <x:v>59407.39772635239</x:v>
      </x:c>
      <x:c r="V101" s="60" t="n">
        <x:f>S101-T101-M101-N101-O101-P101-Q101-U101</x:f>
        <x:v>38407.02060551209</x:v>
      </x:c>
      <x:c r="W101" s="68" t="n">
        <x:f>IFERROR(V101/S101,0)</x:f>
        <x:v>0.26617148231320253</x:v>
      </x:c>
      <x:c r="X101" s="72" t="n">
        <x:f>IFERROR(S101/Q101,0)</x:f>
        <x:v>19.856162921974907</x:v>
      </x:c>
      <x:c r="Y101" s="30" t="str">
        <x:v>Моделируемые данные Unitmetra</x:v>
      </x:c>
    </x:row>
    <x:row r="102">
      <x:c r="A102" s="48" t="str">
        <x:v>2026-01</x:v>
      </x:c>
      <x:c r="B102" s="48" t="str">
        <x:v>UM-017</x:v>
      </x:c>
      <x:c r="C102" s="48" t="str">
        <x:v>Офисный комплект</x:v>
      </x:c>
      <x:c r="D102" s="48" t="str">
        <x:v>Костюмы</x:v>
      </x:c>
      <x:c r="E102" s="56" t="n">
        <x:v>5100</x:v>
      </x:c>
      <x:c r="F102" s="64" t="n">
        <x:v>0.2626751310307034</x:v>
      </x:c>
      <x:c r="G102" s="56" t="n">
        <x:v>1485.1849431588098</x:v>
      </x:c>
      <x:c r="H102" s="64" t="n">
        <x:v>0.20654818354423235</x:v>
      </x:c>
      <x:c r="I102" s="56" t="n">
        <x:v>39</x:v>
      </x:c>
      <x:c r="J102" s="56" t="n">
        <x:v>17</x:v>
      </x:c>
      <x:c r="K102" s="56" t="n">
        <x:v>22</x:v>
      </x:c>
      <x:c r="L102" s="56" t="n">
        <x:v>3760.356831743413</x:v>
      </x:c>
      <x:c r="M102" s="56" t="n">
        <x:v>3421.4049830144036</x:v>
      </x:c>
      <x:c r="N102" s="56" t="n">
        <x:v>987.6745743445954</x:v>
      </x:c>
      <x:c r="O102" s="56" t="n">
        <x:v>767.4275588936131</x:v>
      </x:c>
      <x:c r="P102" s="56" t="n">
        <x:v>0</x:v>
      </x:c>
      <x:c r="Q102" s="56" t="n">
        <x:v>6818.297874074075</x:v>
      </x:c>
      <x:c r="R102" s="68" t="n">
        <x:f>IFERROR(K102/I102,0)</x:f>
        <x:v>0.5641025641025641</x:v>
      </x:c>
      <x:c r="S102" s="60" t="n">
        <x:f>K102*L102</x:f>
        <x:v>82727.85029835509</x:v>
      </x:c>
      <x:c r="T102" s="60" t="n">
        <x:f>S102*H102</x:f>
        <x:v>17087.287207644422</x:v>
      </x:c>
      <x:c r="U102" s="60" t="n">
        <x:f>K102*G102</x:f>
        <x:v>32674.068749493817</x:v>
      </x:c>
      <x:c r="V102" s="60" t="n">
        <x:f>S102-T102-M102-N102-O102-P102-Q102-U102</x:f>
        <x:v>20971.689350890163</x:v>
      </x:c>
      <x:c r="W102" s="68" t="n">
        <x:f>IFERROR(V102/S102,0)</x:f>
        <x:v>0.2535021673506141</x:v>
      </x:c>
      <x:c r="X102" s="72" t="n">
        <x:f>IFERROR(S102/Q102,0)</x:f>
        <x:v>12.13321151792441</x:v>
      </x:c>
      <x:c r="Y102" s="30" t="str">
        <x:v>Моделируемые данные Unitmetra</x:v>
      </x:c>
    </x:row>
    <x:row r="103">
      <x:c r="A103" s="48" t="str">
        <x:v>2026-02</x:v>
      </x:c>
      <x:c r="B103" s="48" t="str">
        <x:v>UM-017</x:v>
      </x:c>
      <x:c r="C103" s="48" t="str">
        <x:v>Офисный комплект</x:v>
      </x:c>
      <x:c r="D103" s="48" t="str">
        <x:v>Костюмы</x:v>
      </x:c>
      <x:c r="E103" s="56" t="n">
        <x:v>5100</x:v>
      </x:c>
      <x:c r="F103" s="64" t="n">
        <x:v>0.24267513103070337</x:v>
      </x:c>
      <x:c r="G103" s="56" t="n">
        <x:v>1485.1849431588098</x:v>
      </x:c>
      <x:c r="H103" s="64" t="n">
        <x:v>0.20654818354423235</x:v>
      </x:c>
      <x:c r="I103" s="56" t="n">
        <x:v>47</x:v>
      </x:c>
      <x:c r="J103" s="56" t="n">
        <x:v>20</x:v>
      </x:c>
      <x:c r="K103" s="56" t="n">
        <x:v>27</x:v>
      </x:c>
      <x:c r="L103" s="56" t="n">
        <x:v>3862.356831743413</x:v>
      </x:c>
      <x:c r="M103" s="56" t="n">
        <x:v>5502.326455999308</x:v>
      </x:c>
      <x:c r="N103" s="56" t="n">
        <x:v>1659.6677717941895</x:v>
      </x:c>
      <x:c r="O103" s="56" t="n">
        <x:v>652.7947965984702</x:v>
      </x:c>
      <x:c r="P103" s="56" t="n">
        <x:v>0</x:v>
      </x:c>
      <x:c r="Q103" s="56" t="n">
        <x:v>7235.355171226494</x:v>
      </x:c>
      <x:c r="R103" s="68" t="n">
        <x:f>IFERROR(K103/I103,0)</x:f>
        <x:v>0.574468085106383</x:v>
      </x:c>
      <x:c r="S103" s="60" t="n">
        <x:f>K103*L103</x:f>
        <x:v>104283.63445707214</x:v>
      </x:c>
      <x:c r="T103" s="60" t="n">
        <x:f>S103*H103</x:f>
        <x:v>21539.59527049897</x:v>
      </x:c>
      <x:c r="U103" s="60" t="n">
        <x:f>K103*G103</x:f>
        <x:v>40099.993465287866</x:v>
      </x:c>
      <x:c r="V103" s="60" t="n">
        <x:f>S103-T103-M103-N103-O103-P103-Q103-U103</x:f>
        <x:v>27593.901525666857</x:v>
      </x:c>
      <x:c r="W103" s="68" t="n">
        <x:f>IFERROR(V103/S103,0)</x:f>
        <x:v>0.26460433287857604</x:v>
      </x:c>
      <x:c r="X103" s="72" t="n">
        <x:f>IFERROR(S103/Q103,0)</x:f>
        <x:v>14.413063628415438</x:v>
      </x:c>
      <x:c r="Y103" s="30" t="str">
        <x:v>Моделируемые данные Unitmetra</x:v>
      </x:c>
    </x:row>
    <x:row r="104">
      <x:c r="A104" s="48" t="str">
        <x:v>2025-09</x:v>
      </x:c>
      <x:c r="B104" s="48" t="str">
        <x:v>UM-018</x:v>
      </x:c>
      <x:c r="C104" s="48" t="str">
        <x:v>Костюм с жилетом</x:v>
      </x:c>
      <x:c r="D104" s="48" t="str">
        <x:v>Костюмы</x:v>
      </x:c>
      <x:c r="E104" s="56" t="n">
        <x:v>6000</x:v>
      </x:c>
      <x:c r="F104" s="64" t="n">
        <x:v>0.2334556750260378</x:v>
      </x:c>
      <x:c r="G104" s="56" t="n">
        <x:v>2087.8895531194707</x:v>
      </x:c>
      <x:c r="H104" s="64" t="n">
        <x:v>0.19455325907597132</x:v>
      </x:c>
      <x:c r="I104" s="56" t="n">
        <x:v>20</x:v>
      </x:c>
      <x:c r="J104" s="56" t="n">
        <x:v>9</x:v>
      </x:c>
      <x:c r="K104" s="56" t="n">
        <x:v>11</x:v>
      </x:c>
      <x:c r="L104" s="56" t="n">
        <x:v>4599.265949843773</x:v>
      </x:c>
      <x:c r="M104" s="56" t="n">
        <x:v>2043.519218703811</x:v>
      </x:c>
      <x:c r="N104" s="56" t="n">
        <x:v>581.5931976074006</x:v>
      </x:c>
      <x:c r="O104" s="56" t="n">
        <x:v>228.441743119607</x:v>
      </x:c>
      <x:c r="P104" s="56" t="n">
        <x:v>195.26347791650275</x:v>
      </x:c>
      <x:c r="Q104" s="56" t="n">
        <x:v>4128.802051996332</x:v>
      </x:c>
      <x:c r="R104" s="68" t="n">
        <x:f>IFERROR(K104/I104,0)</x:f>
        <x:v>0.55</x:v>
      </x:c>
      <x:c r="S104" s="60" t="n">
        <x:f>K104*L104</x:f>
        <x:v>50591.92544828151</x:v>
      </x:c>
      <x:c r="T104" s="60" t="n">
        <x:f>S104*H104</x:f>
        <x:v>9842.823978891738</x:v>
      </x:c>
      <x:c r="U104" s="60" t="n">
        <x:f>K104*G104</x:f>
        <x:v>22966.78508431418</x:v>
      </x:c>
      <x:c r="V104" s="60" t="n">
        <x:f>S104-T104-M104-N104-O104-P104-Q104-U104</x:f>
        <x:v>10604.696695731946</x:v>
      </x:c>
      <x:c r="W104" s="68" t="n">
        <x:f>IFERROR(V104/S104,0)</x:f>
        <x:v>0.2096124352209679</x:v>
      </x:c>
      <x:c r="X104" s="72" t="n">
        <x:f>IFERROR(S104/Q104,0)</x:f>
        <x:v>12.253415109552085</x:v>
      </x:c>
      <x:c r="Y104" s="30" t="str">
        <x:v>Моделируемые данные Unitmetra</x:v>
      </x:c>
    </x:row>
    <x:row r="105">
      <x:c r="A105" s="48" t="str">
        <x:v>2025-10</x:v>
      </x:c>
      <x:c r="B105" s="48" t="str">
        <x:v>UM-018</x:v>
      </x:c>
      <x:c r="C105" s="48" t="str">
        <x:v>Костюм с жилетом</x:v>
      </x:c>
      <x:c r="D105" s="48" t="str">
        <x:v>Костюмы</x:v>
      </x:c>
      <x:c r="E105" s="56" t="n">
        <x:v>6000</x:v>
      </x:c>
      <x:c r="F105" s="64" t="n">
        <x:v>0.24345567502603782</x:v>
      </x:c>
      <x:c r="G105" s="56" t="n">
        <x:v>2087.8895531194707</x:v>
      </x:c>
      <x:c r="H105" s="64" t="n">
        <x:v>0.19455325907597132</x:v>
      </x:c>
      <x:c r="I105" s="56" t="n">
        <x:v>26</x:v>
      </x:c>
      <x:c r="J105" s="56" t="n">
        <x:v>11</x:v>
      </x:c>
      <x:c r="K105" s="56" t="n">
        <x:v>15</x:v>
      </x:c>
      <x:c r="L105" s="56" t="n">
        <x:v>4539.265949843773</x:v>
      </x:c>
      <x:c r="M105" s="56" t="n">
        <x:v>2865.7611241723644</x:v>
      </x:c>
      <x:c r="N105" s="56" t="n">
        <x:v>689.9493795739726</x:v>
      </x:c>
      <x:c r="O105" s="56" t="n">
        <x:v>549.7929148795171</x:v>
      </x:c>
      <x:c r="P105" s="56" t="n">
        <x:v>0</x:v>
      </x:c>
      <x:c r="Q105" s="56" t="n">
        <x:v>4569.78809581496</x:v>
      </x:c>
      <x:c r="R105" s="68" t="n">
        <x:f>IFERROR(K105/I105,0)</x:f>
        <x:v>0.5769230769230769</x:v>
      </x:c>
      <x:c r="S105" s="60" t="n">
        <x:f>K105*L105</x:f>
        <x:v>68088.9892476566</x:v>
      </x:c>
      <x:c r="T105" s="60" t="n">
        <x:f>S105*H105</x:f>
        <x:v>13246.93476532036</x:v>
      </x:c>
      <x:c r="U105" s="60" t="n">
        <x:f>K105*G105</x:f>
        <x:v>31318.34329679206</x:v>
      </x:c>
      <x:c r="V105" s="60" t="n">
        <x:f>S105-T105-M105-N105-O105-P105-Q105-U105</x:f>
        <x:v>14848.419671103373</x:v>
      </x:c>
      <x:c r="W105" s="68" t="n">
        <x:f>IFERROR(V105/S105,0)</x:f>
        <x:v>0.21807372726735558</x:v>
      </x:c>
      <x:c r="X105" s="72" t="n">
        <x:f>IFERROR(S105/Q105,0)</x:f>
        <x:v>14.899813256114198</x:v>
      </x:c>
      <x:c r="Y105" s="30" t="str">
        <x:v>Моделируемые данные Unitmetra</x:v>
      </x:c>
    </x:row>
    <x:row r="106">
      <x:c r="A106" s="48" t="str">
        <x:v>2025-11</x:v>
      </x:c>
      <x:c r="B106" s="48" t="str">
        <x:v>UM-018</x:v>
      </x:c>
      <x:c r="C106" s="48" t="str">
        <x:v>Костюм с жилетом</x:v>
      </x:c>
      <x:c r="D106" s="48" t="str">
        <x:v>Костюмы</x:v>
      </x:c>
      <x:c r="E106" s="56" t="n">
        <x:v>6000</x:v>
      </x:c>
      <x:c r="F106" s="64" t="n">
        <x:v>0.27345567502603774</x:v>
      </x:c>
      <x:c r="G106" s="56" t="n">
        <x:v>2087.8895531194707</x:v>
      </x:c>
      <x:c r="H106" s="64" t="n">
        <x:v>0.19455325907597132</x:v>
      </x:c>
      <x:c r="I106" s="56" t="n">
        <x:v>34</x:v>
      </x:c>
      <x:c r="J106" s="56" t="n">
        <x:v>16</x:v>
      </x:c>
      <x:c r="K106" s="56" t="n">
        <x:v>18</x:v>
      </x:c>
      <x:c r="L106" s="56" t="n">
        <x:v>4359.265949843773</x:v>
      </x:c>
      <x:c r="M106" s="56" t="n">
        <x:v>3253.779238600324</x:v>
      </x:c>
      <x:c r="N106" s="56" t="n">
        <x:v>1323.4721922618064</x:v>
      </x:c>
      <x:c r="O106" s="56" t="n">
        <x:v>135.22307811885014</x:v>
      </x:c>
      <x:c r="P106" s="56" t="n">
        <x:v>0</x:v>
      </x:c>
      <x:c r="Q106" s="56" t="n">
        <x:v>5416.330283211808</x:v>
      </x:c>
      <x:c r="R106" s="68" t="n">
        <x:f>IFERROR(K106/I106,0)</x:f>
        <x:v>0.5294117647058824</x:v>
      </x:c>
      <x:c r="S106" s="60" t="n">
        <x:f>K106*L106</x:f>
        <x:v>78466.78709718792</x:v>
      </x:c>
      <x:c r="T106" s="60" t="n">
        <x:f>S106*H106</x:f>
        <x:v>15265.969158978283</x:v>
      </x:c>
      <x:c r="U106" s="60" t="n">
        <x:f>K106*G106</x:f>
        <x:v>37582.011956150476</x:v>
      </x:c>
      <x:c r="V106" s="60" t="n">
        <x:f>S106-T106-M106-N106-O106-P106-Q106-U106</x:f>
        <x:v>15490.00118986638</x:v>
      </x:c>
      <x:c r="W106" s="68" t="n">
        <x:f>IFERROR(V106/S106,0)</x:f>
        <x:v>0.19740837828214722</x:v>
      </x:c>
      <x:c r="X106" s="72" t="n">
        <x:f>IFERROR(S106/Q106,0)</x:f>
        <x:v>14.487075749497723</x:v>
      </x:c>
      <x:c r="Y106" s="30" t="str">
        <x:v>Моделируемые данные Unitmetra</x:v>
      </x:c>
    </x:row>
    <x:row r="107">
      <x:c r="A107" s="48" t="str">
        <x:v>2025-12</x:v>
      </x:c>
      <x:c r="B107" s="48" t="str">
        <x:v>UM-018</x:v>
      </x:c>
      <x:c r="C107" s="48" t="str">
        <x:v>Костюм с жилетом</x:v>
      </x:c>
      <x:c r="D107" s="48" t="str">
        <x:v>Костюмы</x:v>
      </x:c>
      <x:c r="E107" s="56" t="n">
        <x:v>6000</x:v>
      </x:c>
      <x:c r="F107" s="64" t="n">
        <x:v>0.29345567502603764</x:v>
      </x:c>
      <x:c r="G107" s="56" t="n">
        <x:v>2087.8895531194707</x:v>
      </x:c>
      <x:c r="H107" s="64" t="n">
        <x:v>0.19455325907597132</x:v>
      </x:c>
      <x:c r="I107" s="56" t="n">
        <x:v>34</x:v>
      </x:c>
      <x:c r="J107" s="56" t="n">
        <x:v>15</x:v>
      </x:c>
      <x:c r="K107" s="56" t="n">
        <x:v>19</x:v>
      </x:c>
      <x:c r="L107" s="56" t="n">
        <x:v>4239.265949843774</x:v>
      </x:c>
      <x:c r="M107" s="56" t="n">
        <x:v>3731.105547262444</x:v>
      </x:c>
      <x:c r="N107" s="56" t="n">
        <x:v>1208.4654016811317</x:v>
      </x:c>
      <x:c r="O107" s="56" t="n">
        <x:v>223.33676593324856</x:v>
      </x:c>
      <x:c r="P107" s="56" t="n">
        <x:v>0</x:v>
      </x:c>
      <x:c r="Q107" s="56" t="n">
        <x:v>4551.860900979713</x:v>
      </x:c>
      <x:c r="R107" s="68" t="n">
        <x:f>IFERROR(K107/I107,0)</x:f>
        <x:v>0.5588235294117647</x:v>
      </x:c>
      <x:c r="S107" s="60" t="n">
        <x:f>K107*L107</x:f>
        <x:v>80546.05304703172</x:v>
      </x:c>
      <x:c r="T107" s="60" t="n">
        <x:f>S107*H107</x:f>
        <x:v>15670.49712600609</x:v>
      </x:c>
      <x:c r="U107" s="60" t="n">
        <x:f>K107*G107</x:f>
        <x:v>39669.90150926994</x:v>
      </x:c>
      <x:c r="V107" s="60" t="n">
        <x:f>S107-T107-M107-N107-O107-P107-Q107-U107</x:f>
        <x:v>15490.885795899143</x:v>
      </x:c>
      <x:c r="W107" s="68" t="n">
        <x:f>IFERROR(V107/S107,0)</x:f>
        <x:v>0.19232333813866517</x:v>
      </x:c>
      <x:c r="X107" s="72" t="n">
        <x:f>IFERROR(S107/Q107,0)</x:f>
        <x:v>17.69519209818022</x:v>
      </x:c>
      <x:c r="Y107" s="30" t="str">
        <x:v>Моделируемые данные Unitmetra</x:v>
      </x:c>
    </x:row>
    <x:row r="108">
      <x:c r="A108" s="48" t="str">
        <x:v>2026-01</x:v>
      </x:c>
      <x:c r="B108" s="48" t="str">
        <x:v>UM-018</x:v>
      </x:c>
      <x:c r="C108" s="48" t="str">
        <x:v>Костюм с жилетом</x:v>
      </x:c>
      <x:c r="D108" s="48" t="str">
        <x:v>Костюмы</x:v>
      </x:c>
      <x:c r="E108" s="56" t="n">
        <x:v>6000</x:v>
      </x:c>
      <x:c r="F108" s="64" t="n">
        <x:v>0.26345567502603773</x:v>
      </x:c>
      <x:c r="G108" s="56" t="n">
        <x:v>2087.8895531194707</x:v>
      </x:c>
      <x:c r="H108" s="64" t="n">
        <x:v>0.19455325907597132</x:v>
      </x:c>
      <x:c r="I108" s="56" t="n">
        <x:v>16</x:v>
      </x:c>
      <x:c r="J108" s="56" t="n">
        <x:v>7</x:v>
      </x:c>
      <x:c r="K108" s="56" t="n">
        <x:v>9</x:v>
      </x:c>
      <x:c r="L108" s="56" t="n">
        <x:v>4419.265949843773</x:v>
      </x:c>
      <x:c r="M108" s="56" t="n">
        <x:v>1518.758776037154</x:v>
      </x:c>
      <x:c r="N108" s="56" t="n">
        <x:v>503.66636123244814</x:v>
      </x:c>
      <x:c r="O108" s="56" t="n">
        <x:v>315.76731099937206</x:v>
      </x:c>
      <x:c r="P108" s="56" t="n">
        <x:v>0</x:v>
      </x:c>
      <x:c r="Q108" s="56" t="n">
        <x:v>3029.412432348639</x:v>
      </x:c>
      <x:c r="R108" s="68" t="n">
        <x:f>IFERROR(K108/I108,0)</x:f>
        <x:v>0.5625</x:v>
      </x:c>
      <x:c r="S108" s="60" t="n">
        <x:f>K108*L108</x:f>
        <x:v>39773.39354859396</x:v>
      </x:c>
      <x:c r="T108" s="60" t="n">
        <x:f>S108*H108</x:f>
        <x:v>7738.043339390167</x:v>
      </x:c>
      <x:c r="U108" s="60" t="n">
        <x:f>K108*G108</x:f>
        <x:v>18791.005978075238</x:v>
      </x:c>
      <x:c r="V108" s="60" t="n">
        <x:f>S108-T108-M108-N108-O108-P108-Q108-U108</x:f>
        <x:v>7876.739350510939</x:v>
      </x:c>
      <x:c r="W108" s="68" t="n">
        <x:f>IFERROR(V108/S108,0)</x:f>
        <x:v>0.19804041465275957</x:v>
      </x:c>
      <x:c r="X108" s="72" t="n">
        <x:f>IFERROR(S108/Q108,0)</x:f>
        <x:v>13.129078472077998</x:v>
      </x:c>
      <x:c r="Y108" s="30" t="str">
        <x:v>Моделируемые данные Unitmetra</x:v>
      </x:c>
    </x:row>
    <x:row r="109">
      <x:c r="A109" s="48" t="str">
        <x:v>2026-02</x:v>
      </x:c>
      <x:c r="B109" s="48" t="str">
        <x:v>UM-018</x:v>
      </x:c>
      <x:c r="C109" s="48" t="str">
        <x:v>Костюм с жилетом</x:v>
      </x:c>
      <x:c r="D109" s="48" t="str">
        <x:v>Костюмы</x:v>
      </x:c>
      <x:c r="E109" s="56" t="n">
        <x:v>6000</x:v>
      </x:c>
      <x:c r="F109" s="64" t="n">
        <x:v>0.24345567502603782</x:v>
      </x:c>
      <x:c r="G109" s="56" t="n">
        <x:v>2087.8895531194707</x:v>
      </x:c>
      <x:c r="H109" s="64" t="n">
        <x:v>0.19455325907597132</x:v>
      </x:c>
      <x:c r="I109" s="56" t="n">
        <x:v>20</x:v>
      </x:c>
      <x:c r="J109" s="56" t="n">
        <x:v>9</x:v>
      </x:c>
      <x:c r="K109" s="56" t="n">
        <x:v>11</x:v>
      </x:c>
      <x:c r="L109" s="56" t="n">
        <x:v>4539.265949843773</x:v>
      </x:c>
      <x:c r="M109" s="56" t="n">
        <x:v>2370.8639297777227</x:v>
      </x:c>
      <x:c r="N109" s="56" t="n">
        <x:v>726.0233728596489</x:v>
      </x:c>
      <x:c r="O109" s="56" t="n">
        <x:v>519.564790238196</x:v>
      </x:c>
      <x:c r="P109" s="56" t="n">
        <x:v>0</x:v>
      </x:c>
      <x:c r="Q109" s="56" t="n">
        <x:v>3206.7414711605215</x:v>
      </x:c>
      <x:c r="R109" s="68" t="n">
        <x:f>IFERROR(K109/I109,0)</x:f>
        <x:v>0.55</x:v>
      </x:c>
      <x:c r="S109" s="60" t="n">
        <x:f>K109*L109</x:f>
        <x:v>49931.92544828151</x:v>
      </x:c>
      <x:c r="T109" s="60" t="n">
        <x:f>S109*H109</x:f>
        <x:v>9714.418827901598</x:v>
      </x:c>
      <x:c r="U109" s="60" t="n">
        <x:f>K109*G109</x:f>
        <x:v>22966.78508431418</x:v>
      </x:c>
      <x:c r="V109" s="60" t="n">
        <x:f>S109-T109-M109-N109-O109-P109-Q109-U109</x:f>
        <x:v>10427.527972029631</x:v>
      </x:c>
      <x:c r="W109" s="68" t="n">
        <x:f>IFERROR(V109/S109,0)</x:f>
        <x:v>0.2088348862659073</x:v>
      </x:c>
      <x:c r="X109" s="72" t="n">
        <x:f>IFERROR(S109/Q109,0)</x:f>
        <x:v>15.570923286875109</x:v>
      </x:c>
      <x:c r="Y109" s="30" t="str">
        <x:v>Моделируемые данные Unitmetra</x:v>
      </x:c>
    </x:row>
    <x:row r="110">
      <x:c r="A110" s="48" t="str">
        <x:v>2025-09</x:v>
      </x:c>
      <x:c r="B110" s="48" t="str">
        <x:v>UM-019</x:v>
      </x:c>
      <x:c r="C110" s="48" t="str">
        <x:v>Базовая рубашка</x:v>
      </x:c>
      <x:c r="D110" s="48" t="str">
        <x:v>Блузки</x:v>
      </x:c>
      <x:c r="E110" s="56" t="n">
        <x:v>2500</x:v>
      </x:c>
      <x:c r="F110" s="64" t="n">
        <x:v>0.16312387021856756</x:v>
      </x:c>
      <x:c r="G110" s="56" t="n">
        <x:v>706.0208903167655</x:v>
      </x:c>
      <x:c r="H110" s="64" t="n">
        <x:v>0.185970753898791</x:v>
      </x:c>
      <x:c r="I110" s="56" t="n">
        <x:v>33</x:v>
      </x:c>
      <x:c r="J110" s="56" t="n">
        <x:v>12</x:v>
      </x:c>
      <x:c r="K110" s="56" t="n">
        <x:v>21</x:v>
      </x:c>
      <x:c r="L110" s="56" t="n">
        <x:v>2092.190324453581</x:v>
      </x:c>
      <x:c r="M110" s="56" t="n">
        <x:v>3275.9278877980664</x:v>
      </x:c>
      <x:c r="N110" s="56" t="n">
        <x:v>863.1813649293043</x:v>
      </x:c>
      <x:c r="O110" s="56" t="n">
        <x:v>669.9391268605751</x:v>
      </x:c>
      <x:c r="P110" s="56" t="n">
        <x:v>0</x:v>
      </x:c>
      <x:c r="Q110" s="56" t="n">
        <x:v>2527.9582688393352</x:v>
      </x:c>
      <x:c r="R110" s="68" t="n">
        <x:f>IFERROR(K110/I110,0)</x:f>
        <x:v>0.6363636363636364</x:v>
      </x:c>
      <x:c r="S110" s="60" t="n">
        <x:f>K110*L110</x:f>
        <x:v>43935.996813525206</x:v>
      </x:c>
      <x:c r="T110" s="60" t="n">
        <x:f>S110*H110</x:f>
        <x:v>8170.810450706162</x:v>
      </x:c>
      <x:c r="U110" s="60" t="n">
        <x:f>K110*G110</x:f>
        <x:v>14826.438696652076</x:v>
      </x:c>
      <x:c r="V110" s="60" t="n">
        <x:f>S110-T110-M110-N110-O110-P110-Q110-U110</x:f>
        <x:v>13601.741017739692</x:v>
      </x:c>
      <x:c r="W110" s="68" t="n">
        <x:f>IFERROR(V110/S110,0)</x:f>
        <x:v>0.3095807994403475</x:v>
      </x:c>
      <x:c r="X110" s="72" t="n">
        <x:f>IFERROR(S110/Q110,0)</x:f>
        <x:v>17.380032477236103</x:v>
      </x:c>
      <x:c r="Y110" s="30" t="str">
        <x:v>Моделируемые данные Unitmetra</x:v>
      </x:c>
    </x:row>
    <x:row r="111">
      <x:c r="A111" s="48" t="str">
        <x:v>2025-10</x:v>
      </x:c>
      <x:c r="B111" s="48" t="str">
        <x:v>UM-019</x:v>
      </x:c>
      <x:c r="C111" s="48" t="str">
        <x:v>Базовая рубашка</x:v>
      </x:c>
      <x:c r="D111" s="48" t="str">
        <x:v>Блузки</x:v>
      </x:c>
      <x:c r="E111" s="56" t="n">
        <x:v>2500</x:v>
      </x:c>
      <x:c r="F111" s="64" t="n">
        <x:v>0.17312387021856757</x:v>
      </x:c>
      <x:c r="G111" s="56" t="n">
        <x:v>706.0208903167655</x:v>
      </x:c>
      <x:c r="H111" s="64" t="n">
        <x:v>0.185970753898791</x:v>
      </x:c>
      <x:c r="I111" s="56" t="n">
        <x:v>41</x:v>
      </x:c>
      <x:c r="J111" s="56" t="n">
        <x:v>13</x:v>
      </x:c>
      <x:c r="K111" s="56" t="n">
        <x:v>28</x:v>
      </x:c>
      <x:c r="L111" s="56" t="n">
        <x:v>2067.190324453581</x:v>
      </x:c>
      <x:c r="M111" s="56" t="n">
        <x:v>4583.390915804818</x:v>
      </x:c>
      <x:c r="N111" s="56" t="n">
        <x:v>1041.709574692946</x:v>
      </x:c>
      <x:c r="O111" s="56" t="n">
        <x:v>692.2749339293424</x:v>
      </x:c>
      <x:c r="P111" s="56" t="n">
        <x:v>113.93972543157577</x:v>
      </x:c>
      <x:c r="Q111" s="56" t="n">
        <x:v>4833.047832014858</x:v>
      </x:c>
      <x:c r="R111" s="68" t="n">
        <x:f>IFERROR(K111/I111,0)</x:f>
        <x:v>0.6829268292682927</x:v>
      </x:c>
      <x:c r="S111" s="60" t="n">
        <x:f>K111*L111</x:f>
        <x:v>57881.32908470027</x:v>
      </x:c>
      <x:c r="T111" s="60" t="n">
        <x:f>S111*H111</x:f>
        <x:v>10764.234406545727</x:v>
      </x:c>
      <x:c r="U111" s="60" t="n">
        <x:f>K111*G111</x:f>
        <x:v>19768.584928869433</x:v>
      </x:c>
      <x:c r="V111" s="60" t="n">
        <x:f>S111-T111-M111-N111-O111-P111-Q111-U111</x:f>
        <x:v>16084.146767411567</x:v>
      </x:c>
      <x:c r="W111" s="68" t="n">
        <x:f>IFERROR(V111/S111,0)</x:f>
        <x:v>0.27788143468293436</x:v>
      </x:c>
      <x:c r="X111" s="72" t="n">
        <x:f>IFERROR(S111/Q111,0)</x:f>
        <x:v>11.976154819177534</x:v>
      </x:c>
      <x:c r="Y111" s="30" t="str">
        <x:v>Моделируемые данные Unitmetra</x:v>
      </x:c>
    </x:row>
    <x:row r="112">
      <x:c r="A112" s="48" t="str">
        <x:v>2025-11</x:v>
      </x:c>
      <x:c r="B112" s="48" t="str">
        <x:v>UM-019</x:v>
      </x:c>
      <x:c r="C112" s="48" t="str">
        <x:v>Базовая рубашка</x:v>
      </x:c>
      <x:c r="D112" s="48" t="str">
        <x:v>Блузки</x:v>
      </x:c>
      <x:c r="E112" s="56" t="n">
        <x:v>2500</x:v>
      </x:c>
      <x:c r="F112" s="64" t="n">
        <x:v>0.2031238702185676</x:v>
      </x:c>
      <x:c r="G112" s="56" t="n">
        <x:v>706.0208903167655</x:v>
      </x:c>
      <x:c r="H112" s="64" t="n">
        <x:v>0.185970753898791</x:v>
      </x:c>
      <x:c r="I112" s="56" t="n">
        <x:v>56</x:v>
      </x:c>
      <x:c r="J112" s="56" t="n">
        <x:v>18</x:v>
      </x:c>
      <x:c r="K112" s="56" t="n">
        <x:v>38</x:v>
      </x:c>
      <x:c r="L112" s="56" t="n">
        <x:v>1992.190324453581</x:v>
      </x:c>
      <x:c r="M112" s="56" t="n">
        <x:v>5977.060859381145</x:v>
      </x:c>
      <x:c r="N112" s="56" t="n">
        <x:v>1193.4363642524333</x:v>
      </x:c>
      <x:c r="O112" s="56" t="n">
        <x:v>375.35419441458487</x:v>
      </x:c>
      <x:c r="P112" s="56" t="n">
        <x:v>0</x:v>
      </x:c>
      <x:c r="Q112" s="56" t="n">
        <x:v>4981.099271898507</x:v>
      </x:c>
      <x:c r="R112" s="68" t="n">
        <x:f>IFERROR(K112/I112,0)</x:f>
        <x:v>0.6785714285714286</x:v>
      </x:c>
      <x:c r="S112" s="60" t="n">
        <x:f>K112*L112</x:f>
        <x:v>75703.23232923608</x:v>
      </x:c>
      <x:c r="T112" s="60" t="n">
        <x:f>S112*H112</x:f>
        <x:v>14078.587188843361</x:v>
      </x:c>
      <x:c r="U112" s="60" t="n">
        <x:f>K112*G112</x:f>
        <x:v>26828.79383203709</x:v>
      </x:c>
      <x:c r="V112" s="60" t="n">
        <x:f>S112-T112-M112-N112-O112-P112-Q112-U112</x:f>
        <x:v>22268.90061840896</x:v>
      </x:c>
      <x:c r="W112" s="68" t="n">
        <x:f>IFERROR(V112/S112,0)</x:f>
        <x:v>0.29416049927116333</x:v>
      </x:c>
      <x:c r="X112" s="72" t="n">
        <x:f>IFERROR(S112/Q112,0)</x:f>
        <x:v>15.198097487501466</x:v>
      </x:c>
      <x:c r="Y112" s="30" t="str">
        <x:v>Моделируемые данные Unitmetra</x:v>
      </x:c>
    </x:row>
    <x:row r="113">
      <x:c r="A113" s="48" t="str">
        <x:v>2025-12</x:v>
      </x:c>
      <x:c r="B113" s="48" t="str">
        <x:v>UM-019</x:v>
      </x:c>
      <x:c r="C113" s="48" t="str">
        <x:v>Базовая рубашка</x:v>
      </x:c>
      <x:c r="D113" s="48" t="str">
        <x:v>Блузки</x:v>
      </x:c>
      <x:c r="E113" s="56" t="n">
        <x:v>2500</x:v>
      </x:c>
      <x:c r="F113" s="64" t="n">
        <x:v>0.2231238702185675</x:v>
      </x:c>
      <x:c r="G113" s="56" t="n">
        <x:v>706.0208903167655</x:v>
      </x:c>
      <x:c r="H113" s="64" t="n">
        <x:v>0.185970753898791</x:v>
      </x:c>
      <x:c r="I113" s="56" t="n">
        <x:v>49</x:v>
      </x:c>
      <x:c r="J113" s="56" t="n">
        <x:v>18</x:v>
      </x:c>
      <x:c r="K113" s="56" t="n">
        <x:v>31</x:v>
      </x:c>
      <x:c r="L113" s="56" t="n">
        <x:v>1942.1903244535813</x:v>
      </x:c>
      <x:c r="M113" s="56" t="n">
        <x:v>4289.409633904111</x:v>
      </x:c>
      <x:c r="N113" s="56" t="n">
        <x:v>1175.836182154208</x:v>
      </x:c>
      <x:c r="O113" s="56" t="n">
        <x:v>839.2432104576674</x:v>
      </x:c>
      <x:c r="P113" s="56" t="n">
        <x:v>0</x:v>
      </x:c>
      <x:c r="Q113" s="56" t="n">
        <x:v>4226.039121503372</x:v>
      </x:c>
      <x:c r="R113" s="68" t="n">
        <x:f>IFERROR(K113/I113,0)</x:f>
        <x:v>0.6326530612244898</x:v>
      </x:c>
      <x:c r="S113" s="60" t="n">
        <x:f>K113*L113</x:f>
        <x:v>60207.90005806102</x:v>
      </x:c>
      <x:c r="T113" s="60" t="n">
        <x:f>S113*H113</x:f>
        <x:v>11196.908564460671</x:v>
      </x:c>
      <x:c r="U113" s="60" t="n">
        <x:f>K113*G113</x:f>
        <x:v>21886.64759981973</x:v>
      </x:c>
      <x:c r="V113" s="60" t="n">
        <x:f>S113-T113-M113-N113-O113-P113-Q113-U113</x:f>
        <x:v>16593.815745761258</x:v>
      </x:c>
      <x:c r="W113" s="68" t="n">
        <x:f>IFERROR(V113/S113,0)</x:f>
        <x:v>0.27560861165659556</x:v>
      </x:c>
      <x:c r="X113" s="72" t="n">
        <x:f>IFERROR(S113/Q113,0)</x:f>
        <x:v>14.24688658268801</x:v>
      </x:c>
      <x:c r="Y113" s="30" t="str">
        <x:v>Моделируемые данные Unitmetra</x:v>
      </x:c>
    </x:row>
    <x:row r="114">
      <x:c r="A114" s="48" t="str">
        <x:v>2026-01</x:v>
      </x:c>
      <x:c r="B114" s="48" t="str">
        <x:v>UM-019</x:v>
      </x:c>
      <x:c r="C114" s="48" t="str">
        <x:v>Базовая рубашка</x:v>
      </x:c>
      <x:c r="D114" s="48" t="str">
        <x:v>Блузки</x:v>
      </x:c>
      <x:c r="E114" s="56" t="n">
        <x:v>2500</x:v>
      </x:c>
      <x:c r="F114" s="64" t="n">
        <x:v>0.19312387021856758</x:v>
      </x:c>
      <x:c r="G114" s="56" t="n">
        <x:v>706.0208903167655</x:v>
      </x:c>
      <x:c r="H114" s="64" t="n">
        <x:v>0.185970753898791</x:v>
      </x:c>
      <x:c r="I114" s="56" t="n">
        <x:v>39</x:v>
      </x:c>
      <x:c r="J114" s="56" t="n">
        <x:v>14</x:v>
      </x:c>
      <x:c r="K114" s="56" t="n">
        <x:v>25</x:v>
      </x:c>
      <x:c r="L114" s="56" t="n">
        <x:v>2017.190324453581</x:v>
      </x:c>
      <x:c r="M114" s="56" t="n">
        <x:v>4136.6043699785905</x:v>
      </x:c>
      <x:c r="N114" s="56" t="n">
        <x:v>1135.9918164313099</x:v>
      </x:c>
      <x:c r="O114" s="56" t="n">
        <x:v>576.8037361315969</x:v>
      </x:c>
      <x:c r="P114" s="56" t="n">
        <x:v>41.668576463630366</x:v>
      </x:c>
      <x:c r="Q114" s="56" t="n">
        <x:v>3930.466469061242</x:v>
      </x:c>
      <x:c r="R114" s="68" t="n">
        <x:f>IFERROR(K114/I114,0)</x:f>
        <x:v>0.6410256410256411</x:v>
      </x:c>
      <x:c r="S114" s="60" t="n">
        <x:f>K114*L114</x:f>
        <x:v>50429.75811133953</x:v>
      </x:c>
      <x:c r="T114" s="60" t="n">
        <x:f>S114*H114</x:f>
        <x:v>9378.460134899482</x:v>
      </x:c>
      <x:c r="U114" s="60" t="n">
        <x:f>K114*G114</x:f>
        <x:v>17650.52225791914</x:v>
      </x:c>
      <x:c r="V114" s="60" t="n">
        <x:f>S114-T114-M114-N114-O114-P114-Q114-U114</x:f>
        <x:v>13579.24075045454</x:v>
      </x:c>
      <x:c r="W114" s="68" t="n">
        <x:f>IFERROR(V114/S114,0)</x:f>
        <x:v>0.2692703923043633</x:v>
      </x:c>
      <x:c r="X114" s="72" t="n">
        <x:f>IFERROR(S114/Q114,0)</x:f>
        <x:v>12.830476613475406</x:v>
      </x:c>
      <x:c r="Y114" s="30" t="str">
        <x:v>Моделируемые данные Unitmetra</x:v>
      </x:c>
    </x:row>
    <x:row r="115">
      <x:c r="A115" s="48" t="str">
        <x:v>2026-02</x:v>
      </x:c>
      <x:c r="B115" s="48" t="str">
        <x:v>UM-019</x:v>
      </x:c>
      <x:c r="C115" s="48" t="str">
        <x:v>Базовая рубашка</x:v>
      </x:c>
      <x:c r="D115" s="48" t="str">
        <x:v>Блузки</x:v>
      </x:c>
      <x:c r="E115" s="56" t="n">
        <x:v>2500</x:v>
      </x:c>
      <x:c r="F115" s="64" t="n">
        <x:v>0.17312387021856757</x:v>
      </x:c>
      <x:c r="G115" s="56" t="n">
        <x:v>706.0208903167655</x:v>
      </x:c>
      <x:c r="H115" s="64" t="n">
        <x:v>0.185970753898791</x:v>
      </x:c>
      <x:c r="I115" s="56" t="n">
        <x:v>40</x:v>
      </x:c>
      <x:c r="J115" s="56" t="n">
        <x:v>14</x:v>
      </x:c>
      <x:c r="K115" s="56" t="n">
        <x:v>26</x:v>
      </x:c>
      <x:c r="L115" s="56" t="n">
        <x:v>2067.190324453581</x:v>
      </x:c>
      <x:c r="M115" s="56" t="n">
        <x:v>4329.275205807181</x:v>
      </x:c>
      <x:c r="N115" s="56" t="n">
        <x:v>896.7412440127109</x:v>
      </x:c>
      <x:c r="O115" s="56" t="n">
        <x:v>520.2413452807751</x:v>
      </x:c>
      <x:c r="P115" s="56" t="n">
        <x:v>0</x:v>
      </x:c>
      <x:c r="Q115" s="56" t="n">
        <x:v>4239.632496925053</x:v>
      </x:c>
      <x:c r="R115" s="68" t="n">
        <x:f>IFERROR(K115/I115,0)</x:f>
        <x:v>0.65</x:v>
      </x:c>
      <x:c r="S115" s="60" t="n">
        <x:f>K115*L115</x:f>
        <x:v>53746.94843579311</x:v>
      </x:c>
      <x:c r="T115" s="60" t="n">
        <x:f>S115*H115</x:f>
        <x:v>9995.360520363889</x:v>
      </x:c>
      <x:c r="U115" s="60" t="n">
        <x:f>K115*G115</x:f>
        <x:v>18356.543148235905</x:v>
      </x:c>
      <x:c r="V115" s="60" t="n">
        <x:f>S115-T115-M115-N115-O115-P115-Q115-U115</x:f>
        <x:v>15409.154475167605</x:v>
      </x:c>
      <x:c r="W115" s="68" t="n">
        <x:f>IFERROR(V115/S115,0)</x:f>
        <x:v>0.2866982205245681</x:v>
      </x:c>
      <x:c r="X115" s="72" t="n">
        <x:f>IFERROR(S115/Q115,0)</x:f>
        <x:v>12.67726588914842</x:v>
      </x:c>
      <x:c r="Y115" s="30" t="str">
        <x:v>Моделируемые данные Unitmetra</x:v>
      </x:c>
    </x:row>
    <x:row r="116">
      <x:c r="A116" s="48" t="str">
        <x:v>2025-09</x:v>
      </x:c>
      <x:c r="B116" s="48" t="str">
        <x:v>UM-020</x:v>
      </x:c>
      <x:c r="C116" s="48" t="str">
        <x:v>Блузка с бантом</x:v>
      </x:c>
      <x:c r="D116" s="48" t="str">
        <x:v>Блузки</x:v>
      </x:c>
      <x:c r="E116" s="56" t="n">
        <x:v>2500</x:v>
      </x:c>
      <x:c r="F116" s="64" t="n">
        <x:v>0.2345464786370267</x:v>
      </x:c>
      <x:c r="G116" s="56" t="n">
        <x:v>661.5879279700564</x:v>
      </x:c>
      <x:c r="H116" s="64" t="n">
        <x:v>0.19688062029300152</x:v>
      </x:c>
      <x:c r="I116" s="56" t="n">
        <x:v>63</x:v>
      </x:c>
      <x:c r="J116" s="56" t="n">
        <x:v>23</x:v>
      </x:c>
      <x:c r="K116" s="56" t="n">
        <x:v>40</x:v>
      </x:c>
      <x:c r="L116" s="56" t="n">
        <x:v>1913.6338034074333</x:v>
      </x:c>
      <x:c r="M116" s="56" t="n">
        <x:v>5432.509330855941</x:v>
      </x:c>
      <x:c r="N116" s="56" t="n">
        <x:v>1634.0797255533505</x:v>
      </x:c>
      <x:c r="O116" s="56" t="n">
        <x:v>971.7462862656147</x:v>
      </x:c>
      <x:c r="P116" s="56" t="n">
        <x:v>0</x:v>
      </x:c>
      <x:c r="Q116" s="56" t="n">
        <x:v>2342.207211388098</x:v>
      </x:c>
      <x:c r="R116" s="68" t="n">
        <x:f>IFERROR(K116/I116,0)</x:f>
        <x:v>0.6349206349206349</x:v>
      </x:c>
      <x:c r="S116" s="60" t="n">
        <x:f>K116*L116</x:f>
        <x:v>76545.35213629733</x:v>
      </x:c>
      <x:c r="T116" s="60" t="n">
        <x:f>S116*H116</x:f>
        <x:v>15070.296409140446</x:v>
      </x:c>
      <x:c r="U116" s="60" t="n">
        <x:f>K116*G116</x:f>
        <x:v>26463.517118802258</x:v>
      </x:c>
      <x:c r="V116" s="60" t="n">
        <x:f>S116-T116-M116-N116-O116-P116-Q116-U116</x:f>
        <x:v>24630.996054291616</x:v>
      </x:c>
      <x:c r="W116" s="68" t="n">
        <x:f>IFERROR(V116/S116,0)</x:f>
        <x:v>0.32178303929457985</x:v>
      </x:c>
      <x:c r="X116" s="72" t="n">
        <x:f>IFERROR(S116/Q116,0)</x:f>
        <x:v>32.68086263423853</x:v>
      </x:c>
      <x:c r="Y116" s="30" t="str">
        <x:v>Моделируемые данные Unitmetra</x:v>
      </x:c>
    </x:row>
    <x:row r="117">
      <x:c r="A117" s="48" t="str">
        <x:v>2025-10</x:v>
      </x:c>
      <x:c r="B117" s="48" t="str">
        <x:v>UM-020</x:v>
      </x:c>
      <x:c r="C117" s="48" t="str">
        <x:v>Блузка с бантом</x:v>
      </x:c>
      <x:c r="D117" s="48" t="str">
        <x:v>Блузки</x:v>
      </x:c>
      <x:c r="E117" s="56" t="n">
        <x:v>2500</x:v>
      </x:c>
      <x:c r="F117" s="64" t="n">
        <x:v>0.24454647863702672</x:v>
      </x:c>
      <x:c r="G117" s="56" t="n">
        <x:v>661.5879279700564</x:v>
      </x:c>
      <x:c r="H117" s="64" t="n">
        <x:v>0.19688062029300152</x:v>
      </x:c>
      <x:c r="I117" s="56" t="n">
        <x:v>69</x:v>
      </x:c>
      <x:c r="J117" s="56" t="n">
        <x:v>19</x:v>
      </x:c>
      <x:c r="K117" s="56" t="n">
        <x:v>50</x:v>
      </x:c>
      <x:c r="L117" s="56" t="n">
        <x:v>1888.633803407433</x:v>
      </x:c>
      <x:c r="M117" s="56" t="n">
        <x:v>6377.405550823789</x:v>
      </x:c>
      <x:c r="N117" s="56" t="n">
        <x:v>1152.9371902535268</x:v>
      </x:c>
      <x:c r="O117" s="56" t="n">
        <x:v>965.1880112251985</x:v>
      </x:c>
      <x:c r="P117" s="56" t="n">
        <x:v>0</x:v>
      </x:c>
      <x:c r="Q117" s="56" t="n">
        <x:v>3640.8539569692844</x:v>
      </x:c>
      <x:c r="R117" s="68" t="n">
        <x:f>IFERROR(K117/I117,0)</x:f>
        <x:v>0.7246376811594203</x:v>
      </x:c>
      <x:c r="S117" s="60" t="n">
        <x:f>K117*L117</x:f>
        <x:v>94431.69017037166</x:v>
      </x:c>
      <x:c r="T117" s="60" t="n">
        <x:f>S117*H117</x:f>
        <x:v>18591.769736059305</x:v>
      </x:c>
      <x:c r="U117" s="60" t="n">
        <x:f>K117*G117</x:f>
        <x:v>33079.39639850282</x:v>
      </x:c>
      <x:c r="V117" s="60" t="n">
        <x:f>S117-T117-M117-N117-O117-P117-Q117-U117</x:f>
        <x:v>30624.13932653774</x:v>
      </x:c>
      <x:c r="W117" s="68" t="n">
        <x:f>IFERROR(V117/S117,0)</x:f>
        <x:v>0.3242993879627307</x:v>
      </x:c>
      <x:c r="X117" s="72" t="n">
        <x:f>IFERROR(S117/Q117,0)</x:f>
        <x:v>25.936687185601475</x:v>
      </x:c>
      <x:c r="Y117" s="30" t="str">
        <x:v>Моделируемые данные Unitmetra</x:v>
      </x:c>
    </x:row>
    <x:row r="118">
      <x:c r="A118" s="48" t="str">
        <x:v>2025-11</x:v>
      </x:c>
      <x:c r="B118" s="48" t="str">
        <x:v>UM-020</x:v>
      </x:c>
      <x:c r="C118" s="48" t="str">
        <x:v>Блузка с бантом</x:v>
      </x:c>
      <x:c r="D118" s="48" t="str">
        <x:v>Блузки</x:v>
      </x:c>
      <x:c r="E118" s="56" t="n">
        <x:v>2500</x:v>
      </x:c>
      <x:c r="F118" s="64" t="n">
        <x:v>0.27454647863702664</x:v>
      </x:c>
      <x:c r="G118" s="56" t="n">
        <x:v>661.5879279700564</x:v>
      </x:c>
      <x:c r="H118" s="64" t="n">
        <x:v>0.19688062029300152</x:v>
      </x:c>
      <x:c r="I118" s="56" t="n">
        <x:v>84</x:v>
      </x:c>
      <x:c r="J118" s="56" t="n">
        <x:v>23</x:v>
      </x:c>
      <x:c r="K118" s="56" t="n">
        <x:v>61</x:v>
      </x:c>
      <x:c r="L118" s="56" t="n">
        <x:v>1813.6338034074333</x:v>
      </x:c>
      <x:c r="M118" s="56" t="n">
        <x:v>9999.015735636132</x:v>
      </x:c>
      <x:c r="N118" s="56" t="n">
        <x:v>1846.0867123066414</x:v>
      </x:c>
      <x:c r="O118" s="56" t="n">
        <x:v>821.2691408887014</x:v>
      </x:c>
      <x:c r="P118" s="56" t="n">
        <x:v>0</x:v>
      </x:c>
      <x:c r="Q118" s="56" t="n">
        <x:v>2291.7850831041633</x:v>
      </x:c>
      <x:c r="R118" s="68" t="n">
        <x:f>IFERROR(K118/I118,0)</x:f>
        <x:v>0.7261904761904762</x:v>
      </x:c>
      <x:c r="S118" s="60" t="n">
        <x:f>K118*L118</x:f>
        <x:v>110631.66200785343</x:v>
      </x:c>
      <x:c r="T118" s="60" t="n">
        <x:f>S118*H118</x:f>
        <x:v>21781.230240151872</x:v>
      </x:c>
      <x:c r="U118" s="60" t="n">
        <x:f>K118*G118</x:f>
        <x:v>40356.86360617344</x:v>
      </x:c>
      <x:c r="V118" s="60" t="n">
        <x:f>S118-T118-M118-N118-O118-P118-Q118-U118</x:f>
        <x:v>33535.41148959249</x:v>
      </x:c>
      <x:c r="W118" s="68" t="n">
        <x:f>IFERROR(V118/S118,0)</x:f>
        <x:v>0.30312670786064755</x:v>
      </x:c>
      <x:c r="X118" s="72" t="n">
        <x:f>IFERROR(S118/Q118,0)</x:f>
        <x:v>48.273139930732825</x:v>
      </x:c>
      <x:c r="Y118" s="30" t="str">
        <x:v>Моделируемые данные Unitmetra</x:v>
      </x:c>
    </x:row>
    <x:row r="119">
      <x:c r="A119" s="48" t="str">
        <x:v>2025-12</x:v>
      </x:c>
      <x:c r="B119" s="48" t="str">
        <x:v>UM-020</x:v>
      </x:c>
      <x:c r="C119" s="48" t="str">
        <x:v>Блузка с бантом</x:v>
      </x:c>
      <x:c r="D119" s="48" t="str">
        <x:v>Блузки</x:v>
      </x:c>
      <x:c r="E119" s="56" t="n">
        <x:v>2500</x:v>
      </x:c>
      <x:c r="F119" s="64" t="n">
        <x:v>0.29454647863702665</x:v>
      </x:c>
      <x:c r="G119" s="56" t="n">
        <x:v>661.5879279700564</x:v>
      </x:c>
      <x:c r="H119" s="64" t="n">
        <x:v>0.19688062029300152</x:v>
      </x:c>
      <x:c r="I119" s="56" t="n">
        <x:v>86</x:v>
      </x:c>
      <x:c r="J119" s="56" t="n">
        <x:v>30</x:v>
      </x:c>
      <x:c r="K119" s="56" t="n">
        <x:v>56</x:v>
      </x:c>
      <x:c r="L119" s="56" t="n">
        <x:v>1763.6338034074333</x:v>
      </x:c>
      <x:c r="M119" s="56" t="n">
        <x:v>10223.005136144686</x:v>
      </x:c>
      <x:c r="N119" s="56" t="n">
        <x:v>2284.3544907388628</x:v>
      </x:c>
      <x:c r="O119" s="56" t="n">
        <x:v>874.0836533402462</x:v>
      </x:c>
      <x:c r="P119" s="56" t="n">
        <x:v>0</x:v>
      </x:c>
      <x:c r="Q119" s="56" t="n">
        <x:v>1975.2698598163256</x:v>
      </x:c>
      <x:c r="R119" s="68" t="n">
        <x:f>IFERROR(K119/I119,0)</x:f>
        <x:v>0.6511627906976745</x:v>
      </x:c>
      <x:c r="S119" s="60" t="n">
        <x:f>K119*L119</x:f>
        <x:v>98763.49299081627</x:v>
      </x:c>
      <x:c r="T119" s="60" t="n">
        <x:f>S119*H119</x:f>
        <x:v>19444.617762335416</x:v>
      </x:c>
      <x:c r="U119" s="60" t="n">
        <x:f>K119*G119</x:f>
        <x:v>37048.92396632316</x:v>
      </x:c>
      <x:c r="V119" s="60" t="n">
        <x:f>S119-T119-M119-N119-O119-P119-Q119-U119</x:f>
        <x:v>26913.23812211759</x:v>
      </x:c>
      <x:c r="W119" s="68" t="n">
        <x:f>IFERROR(V119/S119,0)</x:f>
        <x:v>0.27250188614349813</x:v>
      </x:c>
      <x:c r="X119" s="72" t="n">
        <x:f>IFERROR(S119/Q119,0)</x:f>
        <x:v>50</x:v>
      </x:c>
      <x:c r="Y119" s="30" t="str">
        <x:v>Моделируемые данные Unitmetra</x:v>
      </x:c>
    </x:row>
    <x:row r="120">
      <x:c r="A120" s="48" t="str">
        <x:v>2026-01</x:v>
      </x:c>
      <x:c r="B120" s="48" t="str">
        <x:v>UM-020</x:v>
      </x:c>
      <x:c r="C120" s="48" t="str">
        <x:v>Блузка с бантом</x:v>
      </x:c>
      <x:c r="D120" s="48" t="str">
        <x:v>Блузки</x:v>
      </x:c>
      <x:c r="E120" s="56" t="n">
        <x:v>2500</x:v>
      </x:c>
      <x:c r="F120" s="64" t="n">
        <x:v>0.26454647863702674</x:v>
      </x:c>
      <x:c r="G120" s="56" t="n">
        <x:v>661.5879279700564</x:v>
      </x:c>
      <x:c r="H120" s="64" t="n">
        <x:v>0.19688062029300152</x:v>
      </x:c>
      <x:c r="I120" s="56" t="n">
        <x:v>52</x:v>
      </x:c>
      <x:c r="J120" s="56" t="n">
        <x:v>18</x:v>
      </x:c>
      <x:c r="K120" s="56" t="n">
        <x:v>34</x:v>
      </x:c>
      <x:c r="L120" s="56" t="n">
        <x:v>1838.633803407433</x:v>
      </x:c>
      <x:c r="M120" s="56" t="n">
        <x:v>4321.067057341711</x:v>
      </x:c>
      <x:c r="N120" s="56" t="n">
        <x:v>1411.1297156910482</x:v>
      </x:c>
      <x:c r="O120" s="56" t="n">
        <x:v>1492.1089149590425</x:v>
      </x:c>
      <x:c r="P120" s="56" t="n">
        <x:v>123.4894603237235</x:v>
      </x:c>
      <x:c r="Q120" s="56" t="n">
        <x:v>1682.8949871490088</x:v>
      </x:c>
      <x:c r="R120" s="68" t="n">
        <x:f>IFERROR(K120/I120,0)</x:f>
        <x:v>0.6538461538461539</x:v>
      </x:c>
      <x:c r="S120" s="60" t="n">
        <x:f>K120*L120</x:f>
        <x:v>62513.549315852724</x:v>
      </x:c>
      <x:c r="T120" s="60" t="n">
        <x:f>S120*H120</x:f>
        <x:v>12307.706366022225</x:v>
      </x:c>
      <x:c r="U120" s="60" t="n">
        <x:f>K120*G120</x:f>
        <x:v>22493.989550981918</x:v>
      </x:c>
      <x:c r="V120" s="60" t="n">
        <x:f>S120-T120-M120-N120-O120-P120-Q120-U120</x:f>
        <x:v>18681.16326338404</x:v>
      </x:c>
      <x:c r="W120" s="68" t="n">
        <x:f>IFERROR(V120/S120,0)</x:f>
        <x:v>0.2988338283113084</x:v>
      </x:c>
      <x:c r="X120" s="72" t="n">
        <x:f>IFERROR(S120/Q120,0)</x:f>
        <x:v>37.14643503796805</x:v>
      </x:c>
      <x:c r="Y120" s="30" t="str">
        <x:v>Моделируемые данные Unitmetra</x:v>
      </x:c>
    </x:row>
    <x:row r="121">
      <x:c r="A121" s="48" t="str">
        <x:v>2026-02</x:v>
      </x:c>
      <x:c r="B121" s="48" t="str">
        <x:v>UM-020</x:v>
      </x:c>
      <x:c r="C121" s="48" t="str">
        <x:v>Блузка с бантом</x:v>
      </x:c>
      <x:c r="D121" s="48" t="str">
        <x:v>Блузки</x:v>
      </x:c>
      <x:c r="E121" s="56" t="n">
        <x:v>2500</x:v>
      </x:c>
      <x:c r="F121" s="64" t="n">
        <x:v>0.24454647863702672</x:v>
      </x:c>
      <x:c r="G121" s="56" t="n">
        <x:v>661.5879279700564</x:v>
      </x:c>
      <x:c r="H121" s="64" t="n">
        <x:v>0.19688062029300152</x:v>
      </x:c>
      <x:c r="I121" s="56" t="n">
        <x:v>59</x:v>
      </x:c>
      <x:c r="J121" s="56" t="n">
        <x:v>20</x:v>
      </x:c>
      <x:c r="K121" s="56" t="n">
        <x:v>39</x:v>
      </x:c>
      <x:c r="L121" s="56" t="n">
        <x:v>1888.633803407433</x:v>
      </x:c>
      <x:c r="M121" s="56" t="n">
        <x:v>5937.183396039802</x:v>
      </x:c>
      <x:c r="N121" s="56" t="n">
        <x:v>1661.7061589841178</x:v>
      </x:c>
      <x:c r="O121" s="56" t="n">
        <x:v>499.6436166375145</x:v>
      </x:c>
      <x:c r="P121" s="56" t="n">
        <x:v>43.63263974036887</x:v>
      </x:c>
      <x:c r="Q121" s="56" t="n">
        <x:v>1655.3994013373058</x:v>
      </x:c>
      <x:c r="R121" s="68" t="n">
        <x:f>IFERROR(K121/I121,0)</x:f>
        <x:v>0.6610169491525424</x:v>
      </x:c>
      <x:c r="S121" s="60" t="n">
        <x:f>K121*L121</x:f>
        <x:v>73656.7183328899</x:v>
      </x:c>
      <x:c r="T121" s="60" t="n">
        <x:f>S121*H121</x:f>
        <x:v>14501.58039412626</x:v>
      </x:c>
      <x:c r="U121" s="60" t="n">
        <x:f>K121*G121</x:f>
        <x:v>25801.9291908322</x:v>
      </x:c>
      <x:c r="V121" s="60" t="n">
        <x:f>S121-T121-M121-N121-O121-P121-Q121-U121</x:f>
        <x:v>23555.643535192332</x:v>
      </x:c>
      <x:c r="W121" s="68" t="n">
        <x:f>IFERROR(V121/S121,0)</x:f>
        <x:v>0.3198030548786212</x:v>
      </x:c>
      <x:c r="X121" s="72" t="n">
        <x:f>IFERROR(S121/Q121,0)</x:f>
        <x:v>44.49483204680798</x:v>
      </x:c>
      <x:c r="Y121" s="30" t="str">
        <x:v>Моделируемые данные Unitmetra</x:v>
      </x:c>
    </x:row>
    <x:row r="122">
      <x:c r="A122" s="48" t="str">
        <x:v>2025-09</x:v>
      </x:c>
      <x:c r="B122" s="48" t="str">
        <x:v>UM-021</x:v>
      </x:c>
      <x:c r="C122" s="48" t="str">
        <x:v>Шёлковая блузка</x:v>
      </x:c>
      <x:c r="D122" s="48" t="str">
        <x:v>Блузки</x:v>
      </x:c>
      <x:c r="E122" s="56" t="n">
        <x:v>2800</x:v>
      </x:c>
      <x:c r="F122" s="64" t="n">
        <x:v>0.21851311909672344</x:v>
      </x:c>
      <x:c r="G122" s="56" t="n">
        <x:v>1071.1096888715942</x:v>
      </x:c>
      <x:c r="H122" s="64" t="n">
        <x:v>0.1965721290369934</x:v>
      </x:c>
      <x:c r="I122" s="56" t="n">
        <x:v>42</x:v>
      </x:c>
      <x:c r="J122" s="56" t="n">
        <x:v>16</x:v>
      </x:c>
      <x:c r="K122" s="56" t="n">
        <x:v>26</x:v>
      </x:c>
      <x:c r="L122" s="56" t="n">
        <x:v>2188.1632665291745</x:v>
      </x:c>
      <x:c r="M122" s="56" t="n">
        <x:v>4262.527724606492</x:v>
      </x:c>
      <x:c r="N122" s="56" t="n">
        <x:v>1180.4749872155587</x:v>
      </x:c>
      <x:c r="O122" s="56" t="n">
        <x:v>883.8290472390694</x:v>
      </x:c>
      <x:c r="P122" s="56" t="n">
        <x:v>0</x:v>
      </x:c>
      <x:c r="Q122" s="56" t="n">
        <x:v>3954.7471024621295</x:v>
      </x:c>
      <x:c r="R122" s="68" t="n">
        <x:f>IFERROR(K122/I122,0)</x:f>
        <x:v>0.6190476190476191</x:v>
      </x:c>
      <x:c r="S122" s="60" t="n">
        <x:f>K122*L122</x:f>
        <x:v>56892.24492975854</x:v>
      </x:c>
      <x:c r="T122" s="60" t="n">
        <x:f>S122*H122</x:f>
        <x:v>11183.42971153673</x:v>
      </x:c>
      <x:c r="U122" s="60" t="n">
        <x:f>K122*G122</x:f>
        <x:v>27848.85191066145</x:v>
      </x:c>
      <x:c r="V122" s="60" t="n">
        <x:f>S122-T122-M122-N122-O122-P122-Q122-U122</x:f>
        <x:v>7578.384446037107</x:v>
      </x:c>
      <x:c r="W122" s="68" t="n">
        <x:f>IFERROR(V122/S122,0)</x:f>
        <x:v>0.13320593088554838</x:v>
      </x:c>
      <x:c r="X122" s="72" t="n">
        <x:f>IFERROR(S122/Q122,0)</x:f>
        <x:v>14.385811141839843</x:v>
      </x:c>
      <x:c r="Y122" s="30" t="str">
        <x:v>Моделируемые данные Unitmetra</x:v>
      </x:c>
    </x:row>
    <x:row r="123">
      <x:c r="A123" s="48" t="str">
        <x:v>2025-10</x:v>
      </x:c>
      <x:c r="B123" s="48" t="str">
        <x:v>UM-021</x:v>
      </x:c>
      <x:c r="C123" s="48" t="str">
        <x:v>Шёлковая блузка</x:v>
      </x:c>
      <x:c r="D123" s="48" t="str">
        <x:v>Блузки</x:v>
      </x:c>
      <x:c r="E123" s="56" t="n">
        <x:v>2800</x:v>
      </x:c>
      <x:c r="F123" s="64" t="n">
        <x:v>0.22851311909672334</x:v>
      </x:c>
      <x:c r="G123" s="56" t="n">
        <x:v>1071.1096888715942</x:v>
      </x:c>
      <x:c r="H123" s="64" t="n">
        <x:v>0.1965721290369934</x:v>
      </x:c>
      <x:c r="I123" s="56" t="n">
        <x:v>46</x:v>
      </x:c>
      <x:c r="J123" s="56" t="n">
        <x:v>18</x:v>
      </x:c>
      <x:c r="K123" s="56" t="n">
        <x:v>28</x:v>
      </x:c>
      <x:c r="L123" s="56" t="n">
        <x:v>2160.1632665291745</x:v>
      </x:c>
      <x:c r="M123" s="56" t="n">
        <x:v>3846.6654677052084</x:v>
      </x:c>
      <x:c r="N123" s="56" t="n">
        <x:v>1112.0016372750626</x:v>
      </x:c>
      <x:c r="O123" s="56" t="n">
        <x:v>808.7188615599026</x:v>
      </x:c>
      <x:c r="P123" s="56" t="n">
        <x:v>0</x:v>
      </x:c>
      <x:c r="Q123" s="56" t="n">
        <x:v>4467.000467138081</x:v>
      </x:c>
      <x:c r="R123" s="68" t="n">
        <x:f>IFERROR(K123/I123,0)</x:f>
        <x:v>0.6086956521739131</x:v>
      </x:c>
      <x:c r="S123" s="60" t="n">
        <x:f>K123*L123</x:f>
        <x:v>60484.571462816886</x:v>
      </x:c>
      <x:c r="T123" s="60" t="n">
        <x:f>S123*H123</x:f>
        <x:v>11889.58098633609</x:v>
      </x:c>
      <x:c r="U123" s="60" t="n">
        <x:f>K123*G123</x:f>
        <x:v>29991.071288404637</x:v>
      </x:c>
      <x:c r="V123" s="60" t="n">
        <x:f>S123-T123-M123-N123-O123-P123-Q123-U123</x:f>
        <x:v>8369.532754397907</x:v>
      </x:c>
      <x:c r="W123" s="68" t="n">
        <x:f>IFERROR(V123/S123,0)</x:f>
        <x:v>0.13837467228387504</x:v>
      </x:c>
      <x:c r="X123" s="72" t="n">
        <x:f>IFERROR(S123/Q123,0)</x:f>
        <x:v>13.540310082297385</x:v>
      </x:c>
      <x:c r="Y123" s="30" t="str">
        <x:v>Моделируемые данные Unitmetra</x:v>
      </x:c>
    </x:row>
    <x:row r="124">
      <x:c r="A124" s="48" t="str">
        <x:v>2025-11</x:v>
      </x:c>
      <x:c r="B124" s="48" t="str">
        <x:v>UM-021</x:v>
      </x:c>
      <x:c r="C124" s="48" t="str">
        <x:v>Шёлковая блузка</x:v>
      </x:c>
      <x:c r="D124" s="48" t="str">
        <x:v>Блузки</x:v>
      </x:c>
      <x:c r="E124" s="56" t="n">
        <x:v>2800</x:v>
      </x:c>
      <x:c r="F124" s="64" t="n">
        <x:v>0.25851311909672336</x:v>
      </x:c>
      <x:c r="G124" s="56" t="n">
        <x:v>1071.1096888715942</x:v>
      </x:c>
      <x:c r="H124" s="64" t="n">
        <x:v>0.1965721290369934</x:v>
      </x:c>
      <x:c r="I124" s="56" t="n">
        <x:v>49</x:v>
      </x:c>
      <x:c r="J124" s="56" t="n">
        <x:v>18</x:v>
      </x:c>
      <x:c r="K124" s="56" t="n">
        <x:v>31</x:v>
      </x:c>
      <x:c r="L124" s="56" t="n">
        <x:v>2076.1632665291745</x:v>
      </x:c>
      <x:c r="M124" s="56" t="n">
        <x:v>4548.638873148765</x:v>
      </x:c>
      <x:c r="N124" s="56" t="n">
        <x:v>1342.723617912322</x:v>
      </x:c>
      <x:c r="O124" s="56" t="n">
        <x:v>477.99256634390713</x:v>
      </x:c>
      <x:c r="P124" s="56" t="n">
        <x:v>0</x:v>
      </x:c>
      <x:c r="Q124" s="56" t="n">
        <x:v>3648.702400055176</x:v>
      </x:c>
      <x:c r="R124" s="68" t="n">
        <x:f>IFERROR(K124/I124,0)</x:f>
        <x:v>0.6326530612244898</x:v>
      </x:c>
      <x:c r="S124" s="60" t="n">
        <x:f>K124*L124</x:f>
        <x:v>64361.06126240441</x:v>
      </x:c>
      <x:c r="T124" s="60" t="n">
        <x:f>S124*H124</x:f>
        <x:v>12651.590839431195</x:v>
      </x:c>
      <x:c r="U124" s="60" t="n">
        <x:f>K124*G124</x:f>
        <x:v>33204.400355019425</x:v>
      </x:c>
      <x:c r="V124" s="60" t="n">
        <x:f>S124-T124-M124-N124-O124-P124-Q124-U124</x:f>
        <x:v>8487.01261049362</x:v>
      </x:c>
      <x:c r="W124" s="68" t="n">
        <x:f>IFERROR(V124/S124,0)</x:f>
        <x:v>0.13186564118157554</x:v>
      </x:c>
      <x:c r="X124" s="72" t="n">
        <x:f>IFERROR(S124/Q124,0)</x:f>
        <x:v>17.63943841005809</x:v>
      </x:c>
      <x:c r="Y124" s="30" t="str">
        <x:v>Моделируемые данные Unitmetra</x:v>
      </x:c>
    </x:row>
    <x:row r="125">
      <x:c r="A125" s="48" t="str">
        <x:v>2025-12</x:v>
      </x:c>
      <x:c r="B125" s="48" t="str">
        <x:v>UM-021</x:v>
      </x:c>
      <x:c r="C125" s="48" t="str">
        <x:v>Шёлковая блузка</x:v>
      </x:c>
      <x:c r="D125" s="48" t="str">
        <x:v>Блузки</x:v>
      </x:c>
      <x:c r="E125" s="56" t="n">
        <x:v>2800</x:v>
      </x:c>
      <x:c r="F125" s="64" t="n">
        <x:v>0.27851311909672327</x:v>
      </x:c>
      <x:c r="G125" s="56" t="n">
        <x:v>1071.1096888715942</x:v>
      </x:c>
      <x:c r="H125" s="64" t="n">
        <x:v>0.1965721290369934</x:v>
      </x:c>
      <x:c r="I125" s="56" t="n">
        <x:v>58</x:v>
      </x:c>
      <x:c r="J125" s="56" t="n">
        <x:v>22</x:v>
      </x:c>
      <x:c r="K125" s="56" t="n">
        <x:v>36</x:v>
      </x:c>
      <x:c r="L125" s="56" t="n">
        <x:v>2020.1632665291747</x:v>
      </x:c>
      <x:c r="M125" s="56" t="n">
        <x:v>5075.936303364626</x:v>
      </x:c>
      <x:c r="N125" s="56" t="n">
        <x:v>1280.8261594694634</x:v>
      </x:c>
      <x:c r="O125" s="56" t="n">
        <x:v>656.0136820137744</x:v>
      </x:c>
      <x:c r="P125" s="56" t="n">
        <x:v>0</x:v>
      </x:c>
      <x:c r="Q125" s="56" t="n">
        <x:v>3649.0187705131975</x:v>
      </x:c>
      <x:c r="R125" s="68" t="n">
        <x:f>IFERROR(K125/I125,0)</x:f>
        <x:v>0.6206896551724138</x:v>
      </x:c>
      <x:c r="S125" s="60" t="n">
        <x:f>K125*L125</x:f>
        <x:v>72725.87759505029</x:v>
      </x:c>
      <x:c r="T125" s="60" t="n">
        <x:f>S125*H125</x:f>
        <x:v>14295.880594942812</x:v>
      </x:c>
      <x:c r="U125" s="60" t="n">
        <x:f>K125*G125</x:f>
        <x:v>38559.948799377395</x:v>
      </x:c>
      <x:c r="V125" s="60" t="n">
        <x:f>S125-T125-M125-N125-O125-P125-Q125-U125</x:f>
        <x:v>9208.253285369014</x:v>
      </x:c>
      <x:c r="W125" s="68" t="n">
        <x:f>IFERROR(V125/S125,0)</x:f>
        <x:v>0.1266159115554726</x:v>
      </x:c>
      <x:c r="X125" s="72" t="n">
        <x:f>IFERROR(S125/Q125,0)</x:f>
        <x:v>19.93025582184718</x:v>
      </x:c>
      <x:c r="Y125" s="30" t="str">
        <x:v>Моделируемые данные Unitmetra</x:v>
      </x:c>
    </x:row>
    <x:row r="126">
      <x:c r="A126" s="48" t="str">
        <x:v>2026-01</x:v>
      </x:c>
      <x:c r="B126" s="48" t="str">
        <x:v>UM-021</x:v>
      </x:c>
      <x:c r="C126" s="48" t="str">
        <x:v>Шёлковая блузка</x:v>
      </x:c>
      <x:c r="D126" s="48" t="str">
        <x:v>Блузки</x:v>
      </x:c>
      <x:c r="E126" s="56" t="n">
        <x:v>2800</x:v>
      </x:c>
      <x:c r="F126" s="64" t="n">
        <x:v>0.24851311909672336</x:v>
      </x:c>
      <x:c r="G126" s="56" t="n">
        <x:v>1071.1096888715942</x:v>
      </x:c>
      <x:c r="H126" s="64" t="n">
        <x:v>0.1965721290369934</x:v>
      </x:c>
      <x:c r="I126" s="56" t="n">
        <x:v>26</x:v>
      </x:c>
      <x:c r="J126" s="56" t="n">
        <x:v>9</x:v>
      </x:c>
      <x:c r="K126" s="56" t="n">
        <x:v>17</x:v>
      </x:c>
      <x:c r="L126" s="56" t="n">
        <x:v>2104.1632665291745</x:v>
      </x:c>
      <x:c r="M126" s="56" t="n">
        <x:v>2577.0644439694242</x:v>
      </x:c>
      <x:c r="N126" s="56" t="n">
        <x:v>608.8768369329316</x:v>
      </x:c>
      <x:c r="O126" s="56" t="n">
        <x:v>548.2269860668092</x:v>
      </x:c>
      <x:c r="P126" s="56" t="n">
        <x:v>0</x:v>
      </x:c>
      <x:c r="Q126" s="56" t="n">
        <x:v>2437.4015051517613</x:v>
      </x:c>
      <x:c r="R126" s="68" t="n">
        <x:f>IFERROR(K126/I126,0)</x:f>
        <x:v>0.6538461538461539</x:v>
      </x:c>
      <x:c r="S126" s="60" t="n">
        <x:f>K126*L126</x:f>
        <x:v>35770.77553099597</x:v>
      </x:c>
      <x:c r="T126" s="60" t="n">
        <x:f>S126*H126</x:f>
        <x:v>7031.537503432265</x:v>
      </x:c>
      <x:c r="U126" s="60" t="n">
        <x:f>K126*G126</x:f>
        <x:v>18208.864710817103</x:v>
      </x:c>
      <x:c r="V126" s="60" t="n">
        <x:f>S126-T126-M126-N126-O126-P126-Q126-U126</x:f>
        <x:v>4358.80354462568</x:v>
      </x:c>
      <x:c r="W126" s="68" t="n">
        <x:f>IFERROR(V126/S126,0)</x:f>
        <x:v>0.12185376134349407</x:v>
      </x:c>
      <x:c r="X126" s="72" t="n">
        <x:f>IFERROR(S126/Q126,0)</x:f>
        <x:v>14.675782982569691</x:v>
      </x:c>
      <x:c r="Y126" s="30" t="str">
        <x:v>Моделируемые данные Unitmetra</x:v>
      </x:c>
    </x:row>
    <x:row r="127">
      <x:c r="A127" s="48" t="str">
        <x:v>2026-02</x:v>
      </x:c>
      <x:c r="B127" s="48" t="str">
        <x:v>UM-021</x:v>
      </x:c>
      <x:c r="C127" s="48" t="str">
        <x:v>Шёлковая блузка</x:v>
      </x:c>
      <x:c r="D127" s="48" t="str">
        <x:v>Блузки</x:v>
      </x:c>
      <x:c r="E127" s="56" t="n">
        <x:v>2800</x:v>
      </x:c>
      <x:c r="F127" s="64" t="n">
        <x:v>0.22851311909672334</x:v>
      </x:c>
      <x:c r="G127" s="56" t="n">
        <x:v>1071.1096888715942</x:v>
      </x:c>
      <x:c r="H127" s="64" t="n">
        <x:v>0.1965721290369934</x:v>
      </x:c>
      <x:c r="I127" s="56" t="n">
        <x:v>33</x:v>
      </x:c>
      <x:c r="J127" s="56" t="n">
        <x:v>14</x:v>
      </x:c>
      <x:c r="K127" s="56" t="n">
        <x:v>19</x:v>
      </x:c>
      <x:c r="L127" s="56" t="n">
        <x:v>2160.1632665291745</x:v>
      </x:c>
      <x:c r="M127" s="56" t="n">
        <x:v>3259.0867042967275</x:v>
      </x:c>
      <x:c r="N127" s="56" t="n">
        <x:v>1146.6372560680934</x:v>
      </x:c>
      <x:c r="O127" s="56" t="n">
        <x:v>490.3049140933064</x:v>
      </x:c>
      <x:c r="P127" s="56" t="n">
        <x:v>0</x:v>
      </x:c>
      <x:c r="Q127" s="56" t="n">
        <x:v>2444.328435488014</x:v>
      </x:c>
      <x:c r="R127" s="68" t="n">
        <x:f>IFERROR(K127/I127,0)</x:f>
        <x:v>0.5757575757575758</x:v>
      </x:c>
      <x:c r="S127" s="60" t="n">
        <x:f>K127*L127</x:f>
        <x:v>41043.102064054314</x:v>
      </x:c>
      <x:c r="T127" s="60" t="n">
        <x:f>S127*H127</x:f>
        <x:v>8067.929955013775</x:v>
      </x:c>
      <x:c r="U127" s="60" t="n">
        <x:f>K127*G127</x:f>
        <x:v>20351.084088560292</x:v>
      </x:c>
      <x:c r="V127" s="60" t="n">
        <x:f>S127-T127-M127-N127-O127-P127-Q127-U127</x:f>
        <x:v>5283.730710534106</x:v>
      </x:c>
      <x:c r="W127" s="68" t="n">
        <x:f>IFERROR(V127/S127,0)</x:f>
        <x:v>0.1287361443169671</x:v>
      </x:c>
      <x:c r="X127" s="72" t="n">
        <x:f>IFERROR(S127/Q127,0)</x:f>
        <x:v>16.79115681353189</x:v>
      </x:c>
      <x:c r="Y127" s="30" t="str">
        <x:v>Моделируемые данные Unitmetra</x:v>
      </x:c>
    </x:row>
    <x:row r="128">
      <x:c r="A128" s="48" t="str">
        <x:v>2025-09</x:v>
      </x:c>
      <x:c r="B128" s="48" t="str">
        <x:v>UM-022</x:v>
      </x:c>
      <x:c r="C128" s="48" t="str">
        <x:v>Рубашка oversize</x:v>
      </x:c>
      <x:c r="D128" s="48" t="str">
        <x:v>Блузки</x:v>
      </x:c>
      <x:c r="E128" s="56" t="n">
        <x:v>2800</x:v>
      </x:c>
      <x:c r="F128" s="64" t="n">
        <x:v>0.21022583364880743</x:v>
      </x:c>
      <x:c r="G128" s="56" t="n">
        <x:v>865.0531156110903</x:v>
      </x:c>
      <x:c r="H128" s="64" t="n">
        <x:v>0.21136562701439182</x:v>
      </x:c>
      <x:c r="I128" s="56" t="n">
        <x:v>46</x:v>
      </x:c>
      <x:c r="J128" s="56" t="n">
        <x:v>26</x:v>
      </x:c>
      <x:c r="K128" s="56" t="n">
        <x:v>20</x:v>
      </x:c>
      <x:c r="L128" s="56" t="n">
        <x:v>2211.3676657833394</x:v>
      </x:c>
      <x:c r="M128" s="56" t="n">
        <x:v>4853.803609413827</x:v>
      </x:c>
      <x:c r="N128" s="56" t="n">
        <x:v>2097.858622961354</x:v>
      </x:c>
      <x:c r="O128" s="56" t="n">
        <x:v>761.375892453194</x:v>
      </x:c>
      <x:c r="P128" s="56" t="n">
        <x:v>0</x:v>
      </x:c>
      <x:c r="Q128" s="56" t="n">
        <x:v>12740.87294747044</x:v>
      </x:c>
      <x:c r="R128" s="68" t="n">
        <x:f>IFERROR(K128/I128,0)</x:f>
        <x:v>0.43478260869565216</x:v>
      </x:c>
      <x:c r="S128" s="60" t="n">
        <x:f>K128*L128</x:f>
        <x:v>44227.35331566678</x:v>
      </x:c>
      <x:c r="T128" s="60" t="n">
        <x:f>S128*H128</x:f>
        <x:v>9348.14226475295</x:v>
      </x:c>
      <x:c r="U128" s="60" t="n">
        <x:f>K128*G128</x:f>
        <x:v>17301.062312221806</x:v>
      </x:c>
      <x:c r="V128" s="60" t="n">
        <x:f>S128-T128-M128-N128-O128-P128-Q128-U128</x:f>
        <x:v>-2875.76233360679</x:v>
      </x:c>
      <x:c r="W128" s="68" t="n">
        <x:f>IFERROR(V128/S128,0)</x:f>
        <x:v>-0.06502225699741568</x:v>
      </x:c>
      <x:c r="X128" s="72" t="n">
        <x:f>IFERROR(S128/Q128,0)</x:f>
        <x:v>3.4712969431539333</x:v>
      </x:c>
      <x:c r="Y128" s="30" t="str">
        <x:v>Моделируемые данные Unitmetra</x:v>
      </x:c>
    </x:row>
    <x:row r="129">
      <x:c r="A129" s="48" t="str">
        <x:v>2025-10</x:v>
      </x:c>
      <x:c r="B129" s="48" t="str">
        <x:v>UM-022</x:v>
      </x:c>
      <x:c r="C129" s="48" t="str">
        <x:v>Рубашка oversize</x:v>
      </x:c>
      <x:c r="D129" s="48" t="str">
        <x:v>Блузки</x:v>
      </x:c>
      <x:c r="E129" s="56" t="n">
        <x:v>2800</x:v>
      </x:c>
      <x:c r="F129" s="64" t="n">
        <x:v>0.22022583364880732</x:v>
      </x:c>
      <x:c r="G129" s="56" t="n">
        <x:v>865.0531156110903</x:v>
      </x:c>
      <x:c r="H129" s="64" t="n">
        <x:v>0.21136562701439182</x:v>
      </x:c>
      <x:c r="I129" s="56" t="n">
        <x:v>48</x:v>
      </x:c>
      <x:c r="J129" s="56" t="n">
        <x:v>25</x:v>
      </x:c>
      <x:c r="K129" s="56" t="n">
        <x:v>23</x:v>
      </x:c>
      <x:c r="L129" s="56" t="n">
        <x:v>2183.3676657833394</x:v>
      </x:c>
      <x:c r="M129" s="56" t="n">
        <x:v>4656.156993627132</x:v>
      </x:c>
      <x:c r="N129" s="56" t="n">
        <x:v>1984.0922208902946</x:v>
      </x:c>
      <x:c r="O129" s="56" t="n">
        <x:v>914.9636207335764</x:v>
      </x:c>
      <x:c r="P129" s="56" t="n">
        <x:v>3.858436885637512</x:v>
      </x:c>
      <x:c r="Q129" s="56" t="n">
        <x:v>14443.66491736541</x:v>
      </x:c>
      <x:c r="R129" s="68" t="n">
        <x:f>IFERROR(K129/I129,0)</x:f>
        <x:v>0.4791666666666667</x:v>
      </x:c>
      <x:c r="S129" s="60" t="n">
        <x:f>K129*L129</x:f>
        <x:v>50217.4563130168</x:v>
      </x:c>
      <x:c r="T129" s="60" t="n">
        <x:f>S129*H129</x:f>
        <x:v>10614.244140668625</x:v>
      </x:c>
      <x:c r="U129" s="60" t="n">
        <x:f>K129*G129</x:f>
        <x:v>19896.221659055078</x:v>
      </x:c>
      <x:c r="V129" s="60" t="n">
        <x:f>S129-T129-M129-N129-O129-P129-Q129-U129</x:f>
        <x:v>-2295.7456762089532</x:v>
      </x:c>
      <x:c r="W129" s="68" t="n">
        <x:f>IFERROR(V129/S129,0)</x:f>
        <x:v>-0.04571608848323677</x:v>
      </x:c>
      <x:c r="X129" s="72" t="n">
        <x:f>IFERROR(S129/Q129,0)</x:f>
        <x:v>3.4767807616916593</x:v>
      </x:c>
      <x:c r="Y129" s="30" t="str">
        <x:v>Моделируемые данные Unitmetra</x:v>
      </x:c>
    </x:row>
    <x:row r="130">
      <x:c r="A130" s="48" t="str">
        <x:v>2025-11</x:v>
      </x:c>
      <x:c r="B130" s="48" t="str">
        <x:v>UM-022</x:v>
      </x:c>
      <x:c r="C130" s="48" t="str">
        <x:v>Рубашка oversize</x:v>
      </x:c>
      <x:c r="D130" s="48" t="str">
        <x:v>Блузки</x:v>
      </x:c>
      <x:c r="E130" s="56" t="n">
        <x:v>2800</x:v>
      </x:c>
      <x:c r="F130" s="64" t="n">
        <x:v>0.25022583364880757</x:v>
      </x:c>
      <x:c r="G130" s="56" t="n">
        <x:v>865.0531156110903</x:v>
      </x:c>
      <x:c r="H130" s="64" t="n">
        <x:v>0.21136562701439182</x:v>
      </x:c>
      <x:c r="I130" s="56" t="n">
        <x:v>67</x:v>
      </x:c>
      <x:c r="J130" s="56" t="n">
        <x:v>36</x:v>
      </x:c>
      <x:c r="K130" s="56" t="n">
        <x:v>31</x:v>
      </x:c>
      <x:c r="L130" s="56" t="n">
        <x:v>2099.367665783339</x:v>
      </x:c>
      <x:c r="M130" s="56" t="n">
        <x:v>7362.683064514747</x:v>
      </x:c>
      <x:c r="N130" s="56" t="n">
        <x:v>2946.26291781724</x:v>
      </x:c>
      <x:c r="O130" s="56" t="n">
        <x:v>694.0498451127598</x:v>
      </x:c>
      <x:c r="P130" s="56" t="n">
        <x:v>325.9972951557775</x:v>
      </x:c>
      <x:c r="Q130" s="56" t="n">
        <x:v>18599.645264124752</x:v>
      </x:c>
      <x:c r="R130" s="68" t="n">
        <x:f>IFERROR(K130/I130,0)</x:f>
        <x:v>0.4626865671641791</x:v>
      </x:c>
      <x:c r="S130" s="60" t="n">
        <x:f>K130*L130</x:f>
        <x:v>65080.3976392835</x:v>
      </x:c>
      <x:c r="T130" s="60" t="n">
        <x:f>S130*H130</x:f>
        <x:v>13755.759053373104</x:v>
      </x:c>
      <x:c r="U130" s="60" t="n">
        <x:f>K130*G130</x:f>
        <x:v>26816.6465839438</x:v>
      </x:c>
      <x:c r="V130" s="60" t="n">
        <x:f>S130-T130-M130-N130-O130-P130-Q130-U130</x:f>
        <x:v>-5420.646384758682</x:v>
      </x:c>
      <x:c r="W130" s="68" t="n">
        <x:f>IFERROR(V130/S130,0)</x:f>
        <x:v>-0.08329153756563248</x:v>
      </x:c>
      <x:c r="X130" s="72" t="n">
        <x:f>IFERROR(S130/Q130,0)</x:f>
        <x:v>3.4990128421863753</x:v>
      </x:c>
      <x:c r="Y130" s="30" t="str">
        <x:v>Моделируемые данные Unitmetra</x:v>
      </x:c>
    </x:row>
    <x:row r="131">
      <x:c r="A131" s="48" t="str">
        <x:v>2025-12</x:v>
      </x:c>
      <x:c r="B131" s="48" t="str">
        <x:v>UM-022</x:v>
      </x:c>
      <x:c r="C131" s="48" t="str">
        <x:v>Рубашка oversize</x:v>
      </x:c>
      <x:c r="D131" s="48" t="str">
        <x:v>Блузки</x:v>
      </x:c>
      <x:c r="E131" s="56" t="n">
        <x:v>2800</x:v>
      </x:c>
      <x:c r="F131" s="64" t="n">
        <x:v>0.27022583364880737</x:v>
      </x:c>
      <x:c r="G131" s="56" t="n">
        <x:v>865.0531156110903</x:v>
      </x:c>
      <x:c r="H131" s="64" t="n">
        <x:v>0.21136562701439182</x:v>
      </x:c>
      <x:c r="I131" s="56" t="n">
        <x:v>69</x:v>
      </x:c>
      <x:c r="J131" s="56" t="n">
        <x:v>39</x:v>
      </x:c>
      <x:c r="K131" s="56" t="n">
        <x:v>30</x:v>
      </x:c>
      <x:c r="L131" s="56" t="n">
        <x:v>2043.3676657833394</x:v>
      </x:c>
      <x:c r="M131" s="56" t="n">
        <x:v>7619.1070227344335</x:v>
      </x:c>
      <x:c r="N131" s="56" t="n">
        <x:v>2973.544337995883</x:v>
      </x:c>
      <x:c r="O131" s="56" t="n">
        <x:v>672.2920030240136</x:v>
      </x:c>
      <x:c r="P131" s="56" t="n">
        <x:v>93.95478704328421</x:v>
      </x:c>
      <x:c r="Q131" s="56" t="n">
        <x:v>17162.737897051822</x:v>
      </x:c>
      <x:c r="R131" s="68" t="n">
        <x:f>IFERROR(K131/I131,0)</x:f>
        <x:v>0.43478260869565216</x:v>
      </x:c>
      <x:c r="S131" s="60" t="n">
        <x:f>K131*L131</x:f>
        <x:v>61301.02997350018</x:v>
      </x:c>
      <x:c r="T131" s="60" t="n">
        <x:f>S131*H131</x:f>
        <x:v>12956.930636976893</x:v>
      </x:c>
      <x:c r="U131" s="60" t="n">
        <x:f>K131*G131</x:f>
        <x:v>25951.59346833271</x:v>
      </x:c>
      <x:c r="V131" s="60" t="n">
        <x:f>S131-T131-M131-N131-O131-P131-Q131-U131</x:f>
        <x:v>-6129.13017965886</x:v>
      </x:c>
      <x:c r="W131" s="68" t="n">
        <x:f>IFERROR(V131/S131,0)</x:f>
        <x:v>-0.0999841304837524</x:v>
      </x:c>
      <x:c r="X131" s="72" t="n">
        <x:f>IFERROR(S131/Q131,0)</x:f>
        <x:v>3.5717512171545973</x:v>
      </x:c>
      <x:c r="Y131" s="30" t="str">
        <x:v>Моделируемые данные Unitmetra</x:v>
      </x:c>
    </x:row>
    <x:row r="132">
      <x:c r="A132" s="48" t="str">
        <x:v>2026-01</x:v>
      </x:c>
      <x:c r="B132" s="48" t="str">
        <x:v>UM-022</x:v>
      </x:c>
      <x:c r="C132" s="48" t="str">
        <x:v>Рубашка oversize</x:v>
      </x:c>
      <x:c r="D132" s="48" t="str">
        <x:v>Блузки</x:v>
      </x:c>
      <x:c r="E132" s="56" t="n">
        <x:v>2800</x:v>
      </x:c>
      <x:c r="F132" s="64" t="n">
        <x:v>0.24022583364880734</x:v>
      </x:c>
      <x:c r="G132" s="56" t="n">
        <x:v>865.0531156110903</x:v>
      </x:c>
      <x:c r="H132" s="64" t="n">
        <x:v>0.21136562701439182</x:v>
      </x:c>
      <x:c r="I132" s="56" t="n">
        <x:v>40</x:v>
      </x:c>
      <x:c r="J132" s="56" t="n">
        <x:v>21</x:v>
      </x:c>
      <x:c r="K132" s="56" t="n">
        <x:v>19</x:v>
      </x:c>
      <x:c r="L132" s="56" t="n">
        <x:v>2127.3676657833394</x:v>
      </x:c>
      <x:c r="M132" s="56" t="n">
        <x:v>4328.045114438709</x:v>
      </x:c>
      <x:c r="N132" s="56" t="n">
        <x:v>1199.0569278304224</x:v>
      </x:c>
      <x:c r="O132" s="56" t="n">
        <x:v>1161.7250340450673</x:v>
      </x:c>
      <x:c r="P132" s="56" t="n">
        <x:v>0</x:v>
      </x:c>
      <x:c r="Q132" s="56" t="n">
        <x:v>11209.439618961434</x:v>
      </x:c>
      <x:c r="R132" s="68" t="n">
        <x:f>IFERROR(K132/I132,0)</x:f>
        <x:v>0.475</x:v>
      </x:c>
      <x:c r="S132" s="60" t="n">
        <x:f>K132*L132</x:f>
        <x:v>40419.98564988345</x:v>
      </x:c>
      <x:c r="T132" s="60" t="n">
        <x:f>S132*H132</x:f>
        <x:v>8543.395610800335</x:v>
      </x:c>
      <x:c r="U132" s="60" t="n">
        <x:f>K132*G132</x:f>
        <x:v>16436.009196610717</x:v>
      </x:c>
      <x:c r="V132" s="60" t="n">
        <x:f>S132-T132-M132-N132-O132-P132-Q132-U132</x:f>
        <x:v>-2457.6858528032317</x:v>
      </x:c>
      <x:c r="W132" s="68" t="n">
        <x:f>IFERROR(V132/S132,0)</x:f>
        <x:v>-0.060803728979312945</x:v>
      </x:c>
      <x:c r="X132" s="72" t="n">
        <x:f>IFERROR(S132/Q132,0)</x:f>
        <x:v>3.605888164249588</x:v>
      </x:c>
      <x:c r="Y132" s="30" t="str">
        <x:v>Моделируемые данные Unitmetra</x:v>
      </x:c>
    </x:row>
    <x:row r="133">
      <x:c r="A133" s="48" t="str">
        <x:v>2026-02</x:v>
      </x:c>
      <x:c r="B133" s="48" t="str">
        <x:v>UM-022</x:v>
      </x:c>
      <x:c r="C133" s="48" t="str">
        <x:v>Рубашка oversize</x:v>
      </x:c>
      <x:c r="D133" s="48" t="str">
        <x:v>Блузки</x:v>
      </x:c>
      <x:c r="E133" s="56" t="n">
        <x:v>2800</x:v>
      </x:c>
      <x:c r="F133" s="64" t="n">
        <x:v>0.22022583364880732</x:v>
      </x:c>
      <x:c r="G133" s="56" t="n">
        <x:v>865.0531156110903</x:v>
      </x:c>
      <x:c r="H133" s="64" t="n">
        <x:v>0.21136562701439182</x:v>
      </x:c>
      <x:c r="I133" s="56" t="n">
        <x:v>36</x:v>
      </x:c>
      <x:c r="J133" s="56" t="n">
        <x:v>19</x:v>
      </x:c>
      <x:c r="K133" s="56" t="n">
        <x:v>17</x:v>
      </x:c>
      <x:c r="L133" s="56" t="n">
        <x:v>2183.3676657833394</x:v>
      </x:c>
      <x:c r="M133" s="56" t="n">
        <x:v>3226.684422548548</x:v>
      </x:c>
      <x:c r="N133" s="56" t="n">
        <x:v>1250.6620200079838</x:v>
      </x:c>
      <x:c r="O133" s="56" t="n">
        <x:v>696.1300452928149</x:v>
      </x:c>
      <x:c r="P133" s="56" t="n">
        <x:v>0</x:v>
      </x:c>
      <x:c r="Q133" s="56" t="n">
        <x:v>10772.639525573057</x:v>
      </x:c>
      <x:c r="R133" s="68" t="n">
        <x:f>IFERROR(K133/I133,0)</x:f>
        <x:v>0.4722222222222222</x:v>
      </x:c>
      <x:c r="S133" s="60" t="n">
        <x:f>K133*L133</x:f>
        <x:v>37117.25031831677</x:v>
      </x:c>
      <x:c r="T133" s="60" t="n">
        <x:f>S133*H133</x:f>
        <x:v>7845.310886581159</x:v>
      </x:c>
      <x:c r="U133" s="60" t="n">
        <x:f>K133*G133</x:f>
        <x:v>14705.902965388535</x:v>
      </x:c>
      <x:c r="V133" s="60" t="n">
        <x:f>S133-T133-M133-N133-O133-P133-Q133-U133</x:f>
        <x:v>-1380.0795470753274</x:v>
      </x:c>
      <x:c r="W133" s="68" t="n">
        <x:f>IFERROR(V133/S133,0)</x:f>
        <x:v>-0.037181621355024785</x:v>
      </x:c>
      <x:c r="X133" s="72" t="n">
        <x:f>IFERROR(S133/Q133,0)</x:f>
        <x:v>3.4455112166525685</x:v>
      </x:c>
      <x:c r="Y133" s="30" t="str">
        <x:v>Моделируемые данные Unitmetra</x:v>
      </x:c>
    </x:row>
    <x:row r="134">
      <x:c r="A134" s="48" t="str">
        <x:v>2025-09</x:v>
      </x:c>
      <x:c r="B134" s="48" t="str">
        <x:v>UM-023</x:v>
      </x:c>
      <x:c r="C134" s="48" t="str">
        <x:v>Блузка с воланами</x:v>
      </x:c>
      <x:c r="D134" s="48" t="str">
        <x:v>Блузки</x:v>
      </x:c>
      <x:c r="E134" s="56" t="n">
        <x:v>2000</x:v>
      </x:c>
      <x:c r="F134" s="64" t="n">
        <x:v>0.24755841488636987</x:v>
      </x:c>
      <x:c r="G134" s="56" t="n">
        <x:v>607.496108121362</x:v>
      </x:c>
      <x:c r="H134" s="64" t="n">
        <x:v>0.2054448115000409</x:v>
      </x:c>
      <x:c r="I134" s="56" t="n">
        <x:v>42</x:v>
      </x:c>
      <x:c r="J134" s="56" t="n">
        <x:v>17</x:v>
      </x:c>
      <x:c r="K134" s="56" t="n">
        <x:v>25</x:v>
      </x:c>
      <x:c r="L134" s="56" t="n">
        <x:v>1504.8831702272603</x:v>
      </x:c>
      <x:c r="M134" s="56" t="n">
        <x:v>3818.311274645004</x:v>
      </x:c>
      <x:c r="N134" s="56" t="n">
        <x:v>1001.7540687337524</x:v>
      </x:c>
      <x:c r="O134" s="56" t="n">
        <x:v>512.5076901607893</x:v>
      </x:c>
      <x:c r="P134" s="56" t="n">
        <x:v>0</x:v>
      </x:c>
      <x:c r="Q134" s="56" t="n">
        <x:v>2121.7954350464406</x:v>
      </x:c>
      <x:c r="R134" s="68" t="n">
        <x:f>IFERROR(K134/I134,0)</x:f>
        <x:v>0.5952380952380952</x:v>
      </x:c>
      <x:c r="S134" s="60" t="n">
        <x:f>K134*L134</x:f>
        <x:v>37622.07925568151</x:v>
      </x:c>
      <x:c r="T134" s="60" t="n">
        <x:f>S134*H134</x:f>
        <x:v>7729.260980923086</x:v>
      </x:c>
      <x:c r="U134" s="60" t="n">
        <x:f>K134*G134</x:f>
        <x:v>15187.40270303405</x:v>
      </x:c>
      <x:c r="V134" s="60" t="n">
        <x:f>S134-T134-M134-N134-O134-P134-Q134-U134</x:f>
        <x:v>7251.047103138388</x:v>
      </x:c>
      <x:c r="W134" s="68" t="n">
        <x:f>IFERROR(V134/S134,0)</x:f>
        <x:v>0.19273382137813047</x:v>
      </x:c>
      <x:c r="X134" s="72" t="n">
        <x:f>IFERROR(S134/Q134,0)</x:f>
        <x:v>17.731247147705385</x:v>
      </x:c>
      <x:c r="Y134" s="30" t="str">
        <x:v>Моделируемые данные Unitmetra</x:v>
      </x:c>
    </x:row>
    <x:row r="135">
      <x:c r="A135" s="48" t="str">
        <x:v>2025-10</x:v>
      </x:c>
      <x:c r="B135" s="48" t="str">
        <x:v>UM-023</x:v>
      </x:c>
      <x:c r="C135" s="48" t="str">
        <x:v>Блузка с воланами</x:v>
      </x:c>
      <x:c r="D135" s="48" t="str">
        <x:v>Блузки</x:v>
      </x:c>
      <x:c r="E135" s="56" t="n">
        <x:v>2000</x:v>
      </x:c>
      <x:c r="F135" s="64" t="n">
        <x:v>0.2575584148863699</x:v>
      </x:c>
      <x:c r="G135" s="56" t="n">
        <x:v>607.496108121362</x:v>
      </x:c>
      <x:c r="H135" s="64" t="n">
        <x:v>0.2054448115000409</x:v>
      </x:c>
      <x:c r="I135" s="56" t="n">
        <x:v>45</x:v>
      </x:c>
      <x:c r="J135" s="56" t="n">
        <x:v>16</x:v>
      </x:c>
      <x:c r="K135" s="56" t="n">
        <x:v>29</x:v>
      </x:c>
      <x:c r="L135" s="56" t="n">
        <x:v>1484.8831702272603</x:v>
      </x:c>
      <x:c r="M135" s="56" t="n">
        <x:v>4496.277335019998</x:v>
      </x:c>
      <x:c r="N135" s="56" t="n">
        <x:v>1188.6392432035996</x:v>
      </x:c>
      <x:c r="O135" s="56" t="n">
        <x:v>1078.5421016480238</x:v>
      </x:c>
      <x:c r="P135" s="56" t="n">
        <x:v>0</x:v>
      </x:c>
      <x:c r="Q135" s="56" t="n">
        <x:v>1466.4063590264464</x:v>
      </x:c>
      <x:c r="R135" s="68" t="n">
        <x:f>IFERROR(K135/I135,0)</x:f>
        <x:v>0.6444444444444445</x:v>
      </x:c>
      <x:c r="S135" s="60" t="n">
        <x:f>K135*L135</x:f>
        <x:v>43061.61193659055</x:v>
      </x:c>
      <x:c r="T135" s="60" t="n">
        <x:f>S135*H135</x:f>
        <x:v>8846.784747200756</x:v>
      </x:c>
      <x:c r="U135" s="60" t="n">
        <x:f>K135*G135</x:f>
        <x:v>17617.387135519497</x:v>
      </x:c>
      <x:c r="V135" s="60" t="n">
        <x:f>S135-T135-M135-N135-O135-P135-Q135-U135</x:f>
        <x:v>8367.575014972226</x:v>
      </x:c>
      <x:c r="W135" s="68" t="n">
        <x:f>IFERROR(V135/S135,0)</x:f>
        <x:v>0.19431634438798343</x:v>
      </x:c>
      <x:c r="X135" s="72" t="n">
        <x:f>IFERROR(S135/Q135,0)</x:f>
        <x:v>29.36540180116195</x:v>
      </x:c>
      <x:c r="Y135" s="30" t="str">
        <x:v>Моделируемые данные Unitmetra</x:v>
      </x:c>
    </x:row>
    <x:row r="136">
      <x:c r="A136" s="48" t="str">
        <x:v>2025-11</x:v>
      </x:c>
      <x:c r="B136" s="48" t="str">
        <x:v>UM-023</x:v>
      </x:c>
      <x:c r="C136" s="48" t="str">
        <x:v>Блузка с воланами</x:v>
      </x:c>
      <x:c r="D136" s="48" t="str">
        <x:v>Блузки</x:v>
      </x:c>
      <x:c r="E136" s="56" t="n">
        <x:v>2000</x:v>
      </x:c>
      <x:c r="F136" s="64" t="n">
        <x:v>0.2875584148863699</x:v>
      </x:c>
      <x:c r="G136" s="56" t="n">
        <x:v>607.496108121362</x:v>
      </x:c>
      <x:c r="H136" s="64" t="n">
        <x:v>0.2054448115000409</x:v>
      </x:c>
      <x:c r="I136" s="56" t="n">
        <x:v>53</x:v>
      </x:c>
      <x:c r="J136" s="56" t="n">
        <x:v>19</x:v>
      </x:c>
      <x:c r="K136" s="56" t="n">
        <x:v>34</x:v>
      </x:c>
      <x:c r="L136" s="56" t="n">
        <x:v>1424.8831702272603</x:v>
      </x:c>
      <x:c r="M136" s="56" t="n">
        <x:v>5217.174549074994</x:v>
      </x:c>
      <x:c r="N136" s="56" t="n">
        <x:v>1091.2577802416226</x:v>
      </x:c>
      <x:c r="O136" s="56" t="n">
        <x:v>672.5463938282276</x:v>
      </x:c>
      <x:c r="P136" s="56" t="n">
        <x:v>0</x:v>
      </x:c>
      <x:c r="Q136" s="56" t="n">
        <x:v>2418.9567215134743</x:v>
      </x:c>
      <x:c r="R136" s="68" t="n">
        <x:f>IFERROR(K136/I136,0)</x:f>
        <x:v>0.6415094339622641</x:v>
      </x:c>
      <x:c r="S136" s="60" t="n">
        <x:f>K136*L136</x:f>
        <x:v>48446.02778772685</x:v>
      </x:c>
      <x:c r="T136" s="60" t="n">
        <x:f>S136*H136</x:f>
        <x:v>9952.985046775288</x:v>
      </x:c>
      <x:c r="U136" s="60" t="n">
        <x:f>K136*G136</x:f>
        <x:v>20654.86767612631</x:v>
      </x:c>
      <x:c r="V136" s="60" t="n">
        <x:f>S136-T136-M136-N136-O136-P136-Q136-U136</x:f>
        <x:v>8438.23962016694</x:v>
      </x:c>
      <x:c r="W136" s="68" t="n">
        <x:f>IFERROR(V136/S136,0)</x:f>
        <x:v>0.1741781525853943</x:v>
      </x:c>
      <x:c r="X136" s="72" t="n">
        <x:f>IFERROR(S136/Q136,0)</x:f>
        <x:v>20.02765380499057</x:v>
      </x:c>
      <x:c r="Y136" s="30" t="str">
        <x:v>Моделируемые данные Unitmetra</x:v>
      </x:c>
    </x:row>
    <x:row r="137">
      <x:c r="A137" s="48" t="str">
        <x:v>2025-12</x:v>
      </x:c>
      <x:c r="B137" s="48" t="str">
        <x:v>UM-023</x:v>
      </x:c>
      <x:c r="C137" s="48" t="str">
        <x:v>Блузка с воланами</x:v>
      </x:c>
      <x:c r="D137" s="48" t="str">
        <x:v>Блузки</x:v>
      </x:c>
      <x:c r="E137" s="56" t="n">
        <x:v>2000</x:v>
      </x:c>
      <x:c r="F137" s="64" t="n">
        <x:v>0.3075584148863698</x:v>
      </x:c>
      <x:c r="G137" s="56" t="n">
        <x:v>607.496108121362</x:v>
      </x:c>
      <x:c r="H137" s="64" t="n">
        <x:v>0.2054448115000409</x:v>
      </x:c>
      <x:c r="I137" s="56" t="n">
        <x:v>60</x:v>
      </x:c>
      <x:c r="J137" s="56" t="n">
        <x:v>25</x:v>
      </x:c>
      <x:c r="K137" s="56" t="n">
        <x:v>35</x:v>
      </x:c>
      <x:c r="L137" s="56" t="n">
        <x:v>1384.8831702272603</x:v>
      </x:c>
      <x:c r="M137" s="56" t="n">
        <x:v>6807.871298478463</x:v>
      </x:c>
      <x:c r="N137" s="56" t="n">
        <x:v>1456.4928274466968</x:v>
      </x:c>
      <x:c r="O137" s="56" t="n">
        <x:v>1099.0705989043317</x:v>
      </x:c>
      <x:c r="P137" s="56" t="n">
        <x:v>0</x:v>
      </x:c>
      <x:c r="Q137" s="56" t="n">
        <x:v>2075.99006624701</x:v>
      </x:c>
      <x:c r="R137" s="68" t="n">
        <x:f>IFERROR(K137/I137,0)</x:f>
        <x:v>0.5833333333333334</x:v>
      </x:c>
      <x:c r="S137" s="60" t="n">
        <x:f>K137*L137</x:f>
        <x:v>48470.91095795411</x:v>
      </x:c>
      <x:c r="T137" s="60" t="n">
        <x:f>S137*H137</x:f>
        <x:v>9958.097164992148</x:v>
      </x:c>
      <x:c r="U137" s="60" t="n">
        <x:f>K137*G137</x:f>
        <x:v>21262.36378424767</x:v>
      </x:c>
      <x:c r="V137" s="60" t="n">
        <x:f>S137-T137-M137-N137-O137-P137-Q137-U137</x:f>
        <x:v>5811.025217637787</x:v>
      </x:c>
      <x:c r="W137" s="68" t="n">
        <x:f>IFERROR(V137/S137,0)</x:f>
        <x:v>0.11988685796886583</x:v>
      </x:c>
      <x:c r="X137" s="72" t="n">
        <x:f>IFERROR(S137/Q137,0)</x:f>
        <x:v>23.348334727622362</x:v>
      </x:c>
      <x:c r="Y137" s="30" t="str">
        <x:v>Моделируемые данные Unitmetra</x:v>
      </x:c>
    </x:row>
    <x:row r="138">
      <x:c r="A138" s="48" t="str">
        <x:v>2026-01</x:v>
      </x:c>
      <x:c r="B138" s="48" t="str">
        <x:v>UM-023</x:v>
      </x:c>
      <x:c r="C138" s="48" t="str">
        <x:v>Блузка с воланами</x:v>
      </x:c>
      <x:c r="D138" s="48" t="str">
        <x:v>Блузки</x:v>
      </x:c>
      <x:c r="E138" s="56" t="n">
        <x:v>2000</x:v>
      </x:c>
      <x:c r="F138" s="64" t="n">
        <x:v>0.2775584148863699</x:v>
      </x:c>
      <x:c r="G138" s="56" t="n">
        <x:v>607.496108121362</x:v>
      </x:c>
      <x:c r="H138" s="64" t="n">
        <x:v>0.2054448115000409</x:v>
      </x:c>
      <x:c r="I138" s="56" t="n">
        <x:v>40</x:v>
      </x:c>
      <x:c r="J138" s="56" t="n">
        <x:v>14</x:v>
      </x:c>
      <x:c r="K138" s="56" t="n">
        <x:v>26</x:v>
      </x:c>
      <x:c r="L138" s="56" t="n">
        <x:v>1444.8831702272603</x:v>
      </x:c>
      <x:c r="M138" s="56" t="n">
        <x:v>3702.956708207848</x:v>
      </x:c>
      <x:c r="N138" s="56" t="n">
        <x:v>938.697886283938</x:v>
      </x:c>
      <x:c r="O138" s="56" t="n">
        <x:v>1008.2575470107446</x:v>
      </x:c>
      <x:c r="P138" s="56" t="n">
        <x:v>0</x:v>
      </x:c>
      <x:c r="Q138" s="56" t="n">
        <x:v>1897.8766813485558</x:v>
      </x:c>
      <x:c r="R138" s="68" t="n">
        <x:f>IFERROR(K138/I138,0)</x:f>
        <x:v>0.65</x:v>
      </x:c>
      <x:c r="S138" s="60" t="n">
        <x:f>K138*L138</x:f>
        <x:v>37566.962425908765</x:v>
      </x:c>
      <x:c r="T138" s="60" t="n">
        <x:f>S138*H138</x:f>
        <x:v>7717.937514219945</x:v>
      </x:c>
      <x:c r="U138" s="60" t="n">
        <x:f>K138*G138</x:f>
        <x:v>15794.898811155412</x:v>
      </x:c>
      <x:c r="V138" s="60" t="n">
        <x:f>S138-T138-M138-N138-O138-P138-Q138-U138</x:f>
        <x:v>6506.337277682322</x:v>
      </x:c>
      <x:c r="W138" s="68" t="n">
        <x:f>IFERROR(V138/S138,0)</x:f>
        <x:v>0.1731930626681465</x:v>
      </x:c>
      <x:c r="X138" s="72" t="n">
        <x:f>IFERROR(S138/Q138,0)</x:f>
        <x:v>19.794206227991154</x:v>
      </x:c>
      <x:c r="Y138" s="30" t="str">
        <x:v>Моделируемые данные Unitmetra</x:v>
      </x:c>
    </x:row>
    <x:row r="139">
      <x:c r="A139" s="48" t="str">
        <x:v>2026-02</x:v>
      </x:c>
      <x:c r="B139" s="48" t="str">
        <x:v>UM-023</x:v>
      </x:c>
      <x:c r="C139" s="48" t="str">
        <x:v>Блузка с воланами</x:v>
      </x:c>
      <x:c r="D139" s="48" t="str">
        <x:v>Блузки</x:v>
      </x:c>
      <x:c r="E139" s="56" t="n">
        <x:v>2000</x:v>
      </x:c>
      <x:c r="F139" s="64" t="n">
        <x:v>0.2575584148863699</x:v>
      </x:c>
      <x:c r="G139" s="56" t="n">
        <x:v>607.496108121362</x:v>
      </x:c>
      <x:c r="H139" s="64" t="n">
        <x:v>0.2054448115000409</x:v>
      </x:c>
      <x:c r="I139" s="56" t="n">
        <x:v>33</x:v>
      </x:c>
      <x:c r="J139" s="56" t="n">
        <x:v>12</x:v>
      </x:c>
      <x:c r="K139" s="56" t="n">
        <x:v>21</x:v>
      </x:c>
      <x:c r="L139" s="56" t="n">
        <x:v>1484.8831702272603</x:v>
      </x:c>
      <x:c r="M139" s="56" t="n">
        <x:v>2864.1359653799736</x:v>
      </x:c>
      <x:c r="N139" s="56" t="n">
        <x:v>730.266790734716</x:v>
      </x:c>
      <x:c r="O139" s="56" t="n">
        <x:v>890.0175870043499</x:v>
      </x:c>
      <x:c r="P139" s="56" t="n">
        <x:v>0</x:v>
      </x:c>
      <x:c r="Q139" s="56" t="n">
        <x:v>1401.5112206537399</x:v>
      </x:c>
      <x:c r="R139" s="68" t="n">
        <x:f>IFERROR(K139/I139,0)</x:f>
        <x:v>0.6363636363636364</x:v>
      </x:c>
      <x:c r="S139" s="60" t="n">
        <x:f>K139*L139</x:f>
        <x:v>31182.546574772467</x:v>
      </x:c>
      <x:c r="T139" s="60" t="n">
        <x:f>S139*H139</x:f>
        <x:v>6406.292403145376</x:v>
      </x:c>
      <x:c r="U139" s="60" t="n">
        <x:f>K139*G139</x:f>
        <x:v>12757.418270548602</x:v>
      </x:c>
      <x:c r="V139" s="60" t="n">
        <x:f>S139-T139-M139-N139-O139-P139-Q139-U139</x:f>
        <x:v>6132.904337305707</x:v>
      </x:c>
      <x:c r="W139" s="68" t="n">
        <x:f>IFERROR(V139/S139,0)</x:f>
        <x:v>0.19667746900015518</x:v>
      </x:c>
      <x:c r="X139" s="72" t="n">
        <x:f>IFERROR(S139/Q139,0)</x:f>
        <x:v>22.2492307697881</x:v>
      </x:c>
      <x:c r="Y139" s="30" t="str">
        <x:v>Моделируемые данные Unitmetra</x:v>
      </x:c>
    </x:row>
    <x:row r="140">
      <x:c r="A140" s="48" t="str">
        <x:v>2025-09</x:v>
      </x:c>
      <x:c r="B140" s="48" t="str">
        <x:v>UM-024</x:v>
      </x:c>
      <x:c r="C140" s="48" t="str">
        <x:v>Топ с длинным рукавом</x:v>
      </x:c>
      <x:c r="D140" s="48" t="str">
        <x:v>Блузки</x:v>
      </x:c>
      <x:c r="E140" s="56" t="n">
        <x:v>3600</x:v>
      </x:c>
      <x:c r="F140" s="64" t="n">
        <x:v>0.17683423854318092</x:v>
      </x:c>
      <x:c r="G140" s="56" t="n">
        <x:v>1134.3479361680947</x:v>
      </x:c>
      <x:c r="H140" s="64" t="n">
        <x:v>0.19298227993518535</x:v>
      </x:c>
      <x:c r="I140" s="56" t="n">
        <x:v>37</x:v>
      </x:c>
      <x:c r="J140" s="56" t="n">
        <x:v>19</x:v>
      </x:c>
      <x:c r="K140" s="56" t="n">
        <x:v>18</x:v>
      </x:c>
      <x:c r="L140" s="56" t="n">
        <x:v>2963.3967412445486</x:v>
      </x:c>
      <x:c r="M140" s="56" t="n">
        <x:v>3219.68412493705</x:v>
      </x:c>
      <x:c r="N140" s="56" t="n">
        <x:v>1507.8332748610105</x:v>
      </x:c>
      <x:c r="O140" s="56" t="n">
        <x:v>622.784676853062</x:v>
      </x:c>
      <x:c r="P140" s="56" t="n">
        <x:v>0</x:v>
      </x:c>
      <x:c r="Q140" s="56" t="n">
        <x:v>16009.111398113404</x:v>
      </x:c>
      <x:c r="R140" s="68" t="n">
        <x:f>IFERROR(K140/I140,0)</x:f>
        <x:v>0.4864864864864865</x:v>
      </x:c>
      <x:c r="S140" s="60" t="n">
        <x:f>K140*L140</x:f>
        <x:v>53341.141342401876</x:v>
      </x:c>
      <x:c r="T140" s="60" t="n">
        <x:f>S140*H140</x:f>
        <x:v>10293.895070601688</x:v>
      </x:c>
      <x:c r="U140" s="60" t="n">
        <x:f>K140*G140</x:f>
        <x:v>20418.262851025705</x:v>
      </x:c>
      <x:c r="V140" s="60" t="n">
        <x:f>S140-T140-M140-N140-O140-P140-Q140-U140</x:f>
        <x:v>1269.5699460099568</x:v>
      </x:c>
      <x:c r="W140" s="68" t="n">
        <x:f>IFERROR(V140/S140,0)</x:f>
        <x:v>0.023800952024263338</x:v>
      </x:c>
      <x:c r="X140" s="72" t="n">
        <x:f>IFERROR(S140/Q140,0)</x:f>
        <x:v>3.331923928562823</x:v>
      </x:c>
      <x:c r="Y140" s="30" t="str">
        <x:v>Моделируемые данные Unitmetra</x:v>
      </x:c>
    </x:row>
    <x:row r="141">
      <x:c r="A141" s="48" t="str">
        <x:v>2025-10</x:v>
      </x:c>
      <x:c r="B141" s="48" t="str">
        <x:v>UM-024</x:v>
      </x:c>
      <x:c r="C141" s="48" t="str">
        <x:v>Топ с длинным рукавом</x:v>
      </x:c>
      <x:c r="D141" s="48" t="str">
        <x:v>Блузки</x:v>
      </x:c>
      <x:c r="E141" s="56" t="n">
        <x:v>3600</x:v>
      </x:c>
      <x:c r="F141" s="64" t="n">
        <x:v>0.18683423854318093</x:v>
      </x:c>
      <x:c r="G141" s="56" t="n">
        <x:v>1134.3479361680947</x:v>
      </x:c>
      <x:c r="H141" s="64" t="n">
        <x:v>0.19298227993518535</x:v>
      </x:c>
      <x:c r="I141" s="56" t="n">
        <x:v>37</x:v>
      </x:c>
      <x:c r="J141" s="56" t="n">
        <x:v>19</x:v>
      </x:c>
      <x:c r="K141" s="56" t="n">
        <x:v>18</x:v>
      </x:c>
      <x:c r="L141" s="56" t="n">
        <x:v>2927.3967412445486</x:v>
      </x:c>
      <x:c r="M141" s="56" t="n">
        <x:v>3368.7868979157174</x:v>
      </x:c>
      <x:c r="N141" s="56" t="n">
        <x:v>1594.775765099345</x:v>
      </x:c>
      <x:c r="O141" s="56" t="n">
        <x:v>561.8642952558679</x:v>
      </x:c>
      <x:c r="P141" s="56" t="n">
        <x:v>0</x:v>
      </x:c>
      <x:c r="Q141" s="56" t="n">
        <x:v>15960.632911817806</x:v>
      </x:c>
      <x:c r="R141" s="68" t="n">
        <x:f>IFERROR(K141/I141,0)</x:f>
        <x:v>0.4864864864864865</x:v>
      </x:c>
      <x:c r="S141" s="60" t="n">
        <x:f>K141*L141</x:f>
        <x:v>52693.141342401876</x:v>
      </x:c>
      <x:c r="T141" s="60" t="n">
        <x:f>S141*H141</x:f>
        <x:v>10168.842553203687</x:v>
      </x:c>
      <x:c r="U141" s="60" t="n">
        <x:f>K141*G141</x:f>
        <x:v>20418.262851025705</x:v>
      </x:c>
      <x:c r="V141" s="60" t="n">
        <x:f>S141-T141-M141-N141-O141-P141-Q141-U141</x:f>
        <x:v>619.9760680837499</x:v>
      </x:c>
      <x:c r="W141" s="68" t="n">
        <x:f>IFERROR(V141/S141,0)</x:f>
        <x:v>0.011765783027721268</x:v>
      </x:c>
      <x:c r="X141" s="72" t="n">
        <x:f>IFERROR(S141/Q141,0)</x:f>
        <x:v>3.301444349577519</x:v>
      </x:c>
      <x:c r="Y141" s="30" t="str">
        <x:v>Моделируемые данные Unitmetra</x:v>
      </x:c>
    </x:row>
    <x:row r="142">
      <x:c r="A142" s="48" t="str">
        <x:v>2025-11</x:v>
      </x:c>
      <x:c r="B142" s="48" t="str">
        <x:v>UM-024</x:v>
      </x:c>
      <x:c r="C142" s="48" t="str">
        <x:v>Топ с длинным рукавом</x:v>
      </x:c>
      <x:c r="D142" s="48" t="str">
        <x:v>Блузки</x:v>
      </x:c>
      <x:c r="E142" s="56" t="n">
        <x:v>3600</x:v>
      </x:c>
      <x:c r="F142" s="64" t="n">
        <x:v>0.21683423854318096</x:v>
      </x:c>
      <x:c r="G142" s="56" t="n">
        <x:v>1134.3479361680947</x:v>
      </x:c>
      <x:c r="H142" s="64" t="n">
        <x:v>0.19298227993518535</x:v>
      </x:c>
      <x:c r="I142" s="56" t="n">
        <x:v>48</x:v>
      </x:c>
      <x:c r="J142" s="56" t="n">
        <x:v>26</x:v>
      </x:c>
      <x:c r="K142" s="56" t="n">
        <x:v>22</x:v>
      </x:c>
      <x:c r="L142" s="56" t="n">
        <x:v>2819.3967412445486</x:v>
      </x:c>
      <x:c r="M142" s="56" t="n">
        <x:v>4566.370587309669</x:v>
      </x:c>
      <x:c r="N142" s="56" t="n">
        <x:v>2081.3981170429724</x:v>
      </x:c>
      <x:c r="O142" s="56" t="n">
        <x:v>375.5568041899327</x:v>
      </x:c>
      <x:c r="P142" s="56" t="n">
        <x:v>0</x:v>
      </x:c>
      <x:c r="Q142" s="56" t="n">
        <x:v>17992.570097823686</x:v>
      </x:c>
      <x:c r="R142" s="68" t="n">
        <x:f>IFERROR(K142/I142,0)</x:f>
        <x:v>0.4583333333333333</x:v>
      </x:c>
      <x:c r="S142" s="60" t="n">
        <x:f>K142*L142</x:f>
        <x:v>62026.72830738007</x:v>
      </x:c>
      <x:c r="T142" s="60" t="n">
        <x:f>S142*H142</x:f>
        <x:v>11970.059445678506</x:v>
      </x:c>
      <x:c r="U142" s="60" t="n">
        <x:f>K142*G142</x:f>
        <x:v>24955.654595698084</x:v>
      </x:c>
      <x:c r="V142" s="60" t="n">
        <x:f>S142-T142-M142-N142-O142-P142-Q142-U142</x:f>
        <x:v>85.11865963722084</x:v>
      </x:c>
      <x:c r="W142" s="68" t="n">
        <x:f>IFERROR(V142/S142,0)</x:f>
        <x:v>0.001372290010451724</x:v>
      </x:c>
      <x:c r="X142" s="72" t="n">
        <x:f>IFERROR(S142/Q142,0)</x:f>
        <x:v>3.4473523221055893</x:v>
      </x:c>
      <x:c r="Y142" s="30" t="str">
        <x:v>Моделируемые данные Unitmetra</x:v>
      </x:c>
    </x:row>
    <x:row r="143">
      <x:c r="A143" s="48" t="str">
        <x:v>2025-12</x:v>
      </x:c>
      <x:c r="B143" s="48" t="str">
        <x:v>UM-024</x:v>
      </x:c>
      <x:c r="C143" s="48" t="str">
        <x:v>Топ с длинным рукавом</x:v>
      </x:c>
      <x:c r="D143" s="48" t="str">
        <x:v>Блузки</x:v>
      </x:c>
      <x:c r="E143" s="56" t="n">
        <x:v>3600</x:v>
      </x:c>
      <x:c r="F143" s="64" t="n">
        <x:v>0.23683423854318086</x:v>
      </x:c>
      <x:c r="G143" s="56" t="n">
        <x:v>1134.3479361680947</x:v>
      </x:c>
      <x:c r="H143" s="64" t="n">
        <x:v>0.19298227993518535</x:v>
      </x:c>
      <x:c r="I143" s="56" t="n">
        <x:v>55</x:v>
      </x:c>
      <x:c r="J143" s="56" t="n">
        <x:v>32</x:v>
      </x:c>
      <x:c r="K143" s="56" t="n">
        <x:v>23</x:v>
      </x:c>
      <x:c r="L143" s="56" t="n">
        <x:v>2747.396741244549</x:v>
      </x:c>
      <x:c r="M143" s="56" t="n">
        <x:v>5541.612213471585</x:v>
      </x:c>
      <x:c r="N143" s="56" t="n">
        <x:v>2537.5431069870756</x:v>
      </x:c>
      <x:c r="O143" s="56" t="n">
        <x:v>682.2968786977759</x:v>
      </x:c>
      <x:c r="P143" s="56" t="n">
        <x:v>0</x:v>
      </x:c>
      <x:c r="Q143" s="56" t="n">
        <x:v>18648.13716831635</x:v>
      </x:c>
      <x:c r="R143" s="68" t="n">
        <x:f>IFERROR(K143/I143,0)</x:f>
        <x:v>0.41818181818181815</x:v>
      </x:c>
      <x:c r="S143" s="60" t="n">
        <x:f>K143*L143</x:f>
        <x:v>63190.12504862463</x:v>
      </x:c>
      <x:c r="T143" s="60" t="n">
        <x:f>S143*H143</x:f>
        <x:v>12194.574401273047</x:v>
      </x:c>
      <x:c r="U143" s="60" t="n">
        <x:f>K143*G143</x:f>
        <x:v>26090.00253186618</x:v>
      </x:c>
      <x:c r="V143" s="60" t="n">
        <x:f>S143-T143-M143-N143-O143-P143-Q143-U143</x:f>
        <x:v>-2504.0412519873753</x:v>
      </x:c>
      <x:c r="W143" s="68" t="n">
        <x:f>IFERROR(V143/S143,0)</x:f>
        <x:v>-0.03962709758938635</x:v>
      </x:c>
      <x:c r="X143" s="72" t="n">
        <x:f>IFERROR(S143/Q143,0)</x:f>
        <x:v>3.3885489192982896</x:v>
      </x:c>
      <x:c r="Y143" s="30" t="str">
        <x:v>Моделируемые данные Unitmetra</x:v>
      </x:c>
    </x:row>
    <x:row r="144">
      <x:c r="A144" s="48" t="str">
        <x:v>2026-01</x:v>
      </x:c>
      <x:c r="B144" s="48" t="str">
        <x:v>UM-024</x:v>
      </x:c>
      <x:c r="C144" s="48" t="str">
        <x:v>Топ с длинным рукавом</x:v>
      </x:c>
      <x:c r="D144" s="48" t="str">
        <x:v>Блузки</x:v>
      </x:c>
      <x:c r="E144" s="56" t="n">
        <x:v>3600</x:v>
      </x:c>
      <x:c r="F144" s="64" t="n">
        <x:v>0.20683423854318095</x:v>
      </x:c>
      <x:c r="G144" s="56" t="n">
        <x:v>1134.3479361680947</x:v>
      </x:c>
      <x:c r="H144" s="64" t="n">
        <x:v>0.19298227993518535</x:v>
      </x:c>
      <x:c r="I144" s="56" t="n">
        <x:v>35</x:v>
      </x:c>
      <x:c r="J144" s="56" t="n">
        <x:v>18</x:v>
      </x:c>
      <x:c r="K144" s="56" t="n">
        <x:v>17</x:v>
      </x:c>
      <x:c r="L144" s="56" t="n">
        <x:v>2855.3967412445486</x:v>
      </x:c>
      <x:c r="M144" s="56" t="n">
        <x:v>3374.068301680992</x:v>
      </x:c>
      <x:c r="N144" s="56" t="n">
        <x:v>1248.8852203951812</x:v>
      </x:c>
      <x:c r="O144" s="56" t="n">
        <x:v>814.6944218203278</x:v>
      </x:c>
      <x:c r="P144" s="56" t="n">
        <x:v>0</x:v>
      </x:c>
      <x:c r="Q144" s="56" t="n">
        <x:v>14016.402875031925</x:v>
      </x:c>
      <x:c r="R144" s="68" t="n">
        <x:f>IFERROR(K144/I144,0)</x:f>
        <x:v>0.4857142857142857</x:v>
      </x:c>
      <x:c r="S144" s="60" t="n">
        <x:f>K144*L144</x:f>
        <x:v>48541.74460115733</x:v>
      </x:c>
      <x:c r="T144" s="60" t="n">
        <x:f>S144*H144</x:f>
        <x:v>9367.696545162815</x:v>
      </x:c>
      <x:c r="U144" s="60" t="n">
        <x:f>K144*G144</x:f>
        <x:v>19283.91491485761</x:v>
      </x:c>
      <x:c r="V144" s="60" t="n">
        <x:f>S144-T144-M144-N144-O144-P144-Q144-U144</x:f>
        <x:v>436.08232220847276</x:v>
      </x:c>
      <x:c r="W144" s="68" t="n">
        <x:f>IFERROR(V144/S144,0)</x:f>
        <x:v>0.008983655733668784</x:v>
      </x:c>
      <x:c r="X144" s="72" t="n">
        <x:f>IFERROR(S144/Q144,0)</x:f>
        <x:v>3.463209857332726</x:v>
      </x:c>
      <x:c r="Y144" s="30" t="str">
        <x:v>Моделируемые данные Unitmetra</x:v>
      </x:c>
    </x:row>
    <x:row r="145">
      <x:c r="A145" s="48" t="str">
        <x:v>2026-02</x:v>
      </x:c>
      <x:c r="B145" s="48" t="str">
        <x:v>UM-024</x:v>
      </x:c>
      <x:c r="C145" s="48" t="str">
        <x:v>Топ с длинным рукавом</x:v>
      </x:c>
      <x:c r="D145" s="48" t="str">
        <x:v>Блузки</x:v>
      </x:c>
      <x:c r="E145" s="56" t="n">
        <x:v>3600</x:v>
      </x:c>
      <x:c r="F145" s="64" t="n">
        <x:v>0.18683423854318093</x:v>
      </x:c>
      <x:c r="G145" s="56" t="n">
        <x:v>1134.3479361680947</x:v>
      </x:c>
      <x:c r="H145" s="64" t="n">
        <x:v>0.19298227993518535</x:v>
      </x:c>
      <x:c r="I145" s="56" t="n">
        <x:v>33</x:v>
      </x:c>
      <x:c r="J145" s="56" t="n">
        <x:v>18</x:v>
      </x:c>
      <x:c r="K145" s="56" t="n">
        <x:v>15</x:v>
      </x:c>
      <x:c r="L145" s="56" t="n">
        <x:v>2927.3967412445486</x:v>
      </x:c>
      <x:c r="M145" s="56" t="n">
        <x:v>3858.817997398072</x:v>
      </x:c>
      <x:c r="N145" s="56" t="n">
        <x:v>1122.7728169827317</x:v>
      </x:c>
      <x:c r="O145" s="56" t="n">
        <x:v>533.8661221125001</x:v>
      </x:c>
      <x:c r="P145" s="56" t="n">
        <x:v>0</x:v>
      </x:c>
      <x:c r="Q145" s="56" t="n">
        <x:v>12814.57020186381</x:v>
      </x:c>
      <x:c r="R145" s="68" t="n">
        <x:f>IFERROR(K145/I145,0)</x:f>
        <x:v>0.45454545454545453</x:v>
      </x:c>
      <x:c r="S145" s="60" t="n">
        <x:f>K145*L145</x:f>
        <x:v>43910.95111866823</x:v>
      </x:c>
      <x:c r="T145" s="60" t="n">
        <x:f>S145*H145</x:f>
        <x:v>8474.035461003072</x:v>
      </x:c>
      <x:c r="U145" s="60" t="n">
        <x:f>K145*G145</x:f>
        <x:v>17015.21904252142</x:v>
      </x:c>
      <x:c r="V145" s="60" t="n">
        <x:f>S145-T145-M145-N145-O145-P145-Q145-U145</x:f>
        <x:v>91.66947678662109</x:v>
      </x:c>
      <x:c r="W145" s="68" t="n">
        <x:f>IFERROR(V145/S145,0)</x:f>
        <x:v>0.002087622209295505</x:v>
      </x:c>
      <x:c r="X145" s="72" t="n">
        <x:f>IFERROR(S145/Q145,0)</x:f>
        <x:v>3.4266425191756817</x:v>
      </x:c>
      <x:c r="Y145" s="30" t="str">
        <x:v>Моделируемые данные Unitmetra</x:v>
      </x:c>
    </x:row>
    <x:row r="146">
      <x:c r="A146" s="48" t="str">
        <x:v>2025-09</x:v>
      </x:c>
      <x:c r="B146" s="48" t="str">
        <x:v>UM-025</x:v>
      </x:c>
      <x:c r="C146" s="48" t="str">
        <x:v>Блузка в полоску</x:v>
      </x:c>
      <x:c r="D146" s="48" t="str">
        <x:v>Блузки</x:v>
      </x:c>
      <x:c r="E146" s="56" t="n">
        <x:v>2400</x:v>
      </x:c>
      <x:c r="F146" s="64" t="n">
        <x:v>0.2924639032111592</x:v>
      </x:c>
      <x:c r="G146" s="56" t="n">
        <x:v>731.7843373843542</x:v>
      </x:c>
      <x:c r="H146" s="64" t="n">
        <x:v>0.1889587781698661</x:v>
      </x:c>
      <x:c r="I146" s="56" t="n">
        <x:v>33</x:v>
      </x:c>
      <x:c r="J146" s="56" t="n">
        <x:v>11</x:v>
      </x:c>
      <x:c r="K146" s="56" t="n">
        <x:v>22</x:v>
      </x:c>
      <x:c r="L146" s="56" t="n">
        <x:v>1698.086632293218</x:v>
      </x:c>
      <x:c r="M146" s="56" t="n">
        <x:v>3252.253105810996</x:v>
      </x:c>
      <x:c r="N146" s="56" t="n">
        <x:v>700.5118034776614</x:v>
      </x:c>
      <x:c r="O146" s="56" t="n">
        <x:v>1021.0770190874194</x:v>
      </x:c>
      <x:c r="P146" s="56" t="n">
        <x:v>0</x:v>
      </x:c>
      <x:c r="Q146" s="56" t="n">
        <x:v>2115.721529271803</x:v>
      </x:c>
      <x:c r="R146" s="68" t="n">
        <x:f>IFERROR(K146/I146,0)</x:f>
        <x:v>0.6666666666666666</x:v>
      </x:c>
      <x:c r="S146" s="60" t="n">
        <x:f>K146*L146</x:f>
        <x:v>37357.90591045079</x:v>
      </x:c>
      <x:c r="T146" s="60" t="n">
        <x:f>S146*H146</x:f>
        <x:v>7059.1042558236</x:v>
      </x:c>
      <x:c r="U146" s="60" t="n">
        <x:f>K146*G146</x:f>
        <x:v>16099.255422455793</x:v>
      </x:c>
      <x:c r="V146" s="60" t="n">
        <x:f>S146-T146-M146-N146-O146-P146-Q146-U146</x:f>
        <x:v>7109.982774523516</x:v>
      </x:c>
      <x:c r="W146" s="68" t="n">
        <x:f>IFERROR(V146/S146,0)</x:f>
        <x:v>0.19032069922673353</x:v>
      </x:c>
      <x:c r="X146" s="72" t="n">
        <x:f>IFERROR(S146/Q146,0)</x:f>
        <x:v>17.657288728024987</x:v>
      </x:c>
      <x:c r="Y146" s="30" t="str">
        <x:v>Моделируемые данные Unitmetra</x:v>
      </x:c>
    </x:row>
    <x:row r="147">
      <x:c r="A147" s="48" t="str">
        <x:v>2025-10</x:v>
      </x:c>
      <x:c r="B147" s="48" t="str">
        <x:v>UM-025</x:v>
      </x:c>
      <x:c r="C147" s="48" t="str">
        <x:v>Блузка в полоску</x:v>
      </x:c>
      <x:c r="D147" s="48" t="str">
        <x:v>Блузки</x:v>
      </x:c>
      <x:c r="E147" s="56" t="n">
        <x:v>2400</x:v>
      </x:c>
      <x:c r="F147" s="64" t="n">
        <x:v>0.30246390321115924</x:v>
      </x:c>
      <x:c r="G147" s="56" t="n">
        <x:v>731.7843373843542</x:v>
      </x:c>
      <x:c r="H147" s="64" t="n">
        <x:v>0.1889587781698661</x:v>
      </x:c>
      <x:c r="I147" s="56" t="n">
        <x:v>39</x:v>
      </x:c>
      <x:c r="J147" s="56" t="n">
        <x:v>13</x:v>
      </x:c>
      <x:c r="K147" s="56" t="n">
        <x:v>26</x:v>
      </x:c>
      <x:c r="L147" s="56" t="n">
        <x:v>1674.086632293218</x:v>
      </x:c>
      <x:c r="M147" s="56" t="n">
        <x:v>3330.6594298477285</x:v>
      </x:c>
      <x:c r="N147" s="56" t="n">
        <x:v>1083.0813635604472</x:v>
      </x:c>
      <x:c r="O147" s="56" t="n">
        <x:v>585.058143201222</x:v>
      </x:c>
      <x:c r="P147" s="56" t="n">
        <x:v>0</x:v>
      </x:c>
      <x:c r="Q147" s="56" t="n">
        <x:v>2597.021422202613</x:v>
      </x:c>
      <x:c r="R147" s="68" t="n">
        <x:f>IFERROR(K147/I147,0)</x:f>
        <x:v>0.6666666666666666</x:v>
      </x:c>
      <x:c r="S147" s="60" t="n">
        <x:f>K147*L147</x:f>
        <x:v>43526.25243962367</x:v>
      </x:c>
      <x:c r="T147" s="60" t="n">
        <x:f>S147*H147</x:f>
        <x:v>8224.667479304442</x:v>
      </x:c>
      <x:c r="U147" s="60" t="n">
        <x:f>K147*G147</x:f>
        <x:v>19026.39277199321</x:v>
      </x:c>
      <x:c r="V147" s="60" t="n">
        <x:f>S147-T147-M147-N147-O147-P147-Q147-U147</x:f>
        <x:v>8679.371829514006</x:v>
      </x:c>
      <x:c r="W147" s="68" t="n">
        <x:f>IFERROR(V147/S147,0)</x:f>
        <x:v>0.19940544712764727</x:v>
      </x:c>
      <x:c r="X147" s="72" t="n">
        <x:f>IFERROR(S147/Q147,0)</x:f>
        <x:v>16.760066770149216</x:v>
      </x:c>
      <x:c r="Y147" s="30" t="str">
        <x:v>Моделируемые данные Unitmetra</x:v>
      </x:c>
    </x:row>
    <x:row r="148">
      <x:c r="A148" s="48" t="str">
        <x:v>2025-11</x:v>
      </x:c>
      <x:c r="B148" s="48" t="str">
        <x:v>UM-025</x:v>
      </x:c>
      <x:c r="C148" s="48" t="str">
        <x:v>Блузка в полоску</x:v>
      </x:c>
      <x:c r="D148" s="48" t="str">
        <x:v>Блузки</x:v>
      </x:c>
      <x:c r="E148" s="56" t="n">
        <x:v>2400</x:v>
      </x:c>
      <x:c r="F148" s="64" t="n">
        <x:v>0.33246390321115915</x:v>
      </x:c>
      <x:c r="G148" s="56" t="n">
        <x:v>731.7843373843542</x:v>
      </x:c>
      <x:c r="H148" s="64" t="n">
        <x:v>0.1889587781698661</x:v>
      </x:c>
      <x:c r="I148" s="56" t="n">
        <x:v>45</x:v>
      </x:c>
      <x:c r="J148" s="56" t="n">
        <x:v>16</x:v>
      </x:c>
      <x:c r="K148" s="56" t="n">
        <x:v>29</x:v>
      </x:c>
      <x:c r="L148" s="56" t="n">
        <x:v>1602.0866322932181</x:v>
      </x:c>
      <x:c r="M148" s="56" t="n">
        <x:v>4750.650612641106</x:v>
      </x:c>
      <x:c r="N148" s="56" t="n">
        <x:v>1255.7945316024275</x:v>
      </x:c>
      <x:c r="O148" s="56" t="n">
        <x:v>1058.5034405407948</x:v>
      </x:c>
      <x:c r="P148" s="56" t="n">
        <x:v>0</x:v>
      </x:c>
      <x:c r="Q148" s="56" t="n">
        <x:v>3041.120607705647</x:v>
      </x:c>
      <x:c r="R148" s="68" t="n">
        <x:f>IFERROR(K148/I148,0)</x:f>
        <x:v>0.6444444444444445</x:v>
      </x:c>
      <x:c r="S148" s="60" t="n">
        <x:f>K148*L148</x:f>
        <x:v>46460.51233650333</x:v>
      </x:c>
      <x:c r="T148" s="60" t="n">
        <x:f>S148*H148</x:f>
        <x:v>8779.12164425166</x:v>
      </x:c>
      <x:c r="U148" s="60" t="n">
        <x:f>K148*G148</x:f>
        <x:v>21221.74578414627</x:v>
      </x:c>
      <x:c r="V148" s="60" t="n">
        <x:f>S148-T148-M148-N148-O148-P148-Q148-U148</x:f>
        <x:v>6353.575715615425</x:v>
      </x:c>
      <x:c r="W148" s="68" t="n">
        <x:f>IFERROR(V148/S148,0)</x:f>
        <x:v>0.13675216643324692</x:v>
      </x:c>
      <x:c r="X148" s="72" t="n">
        <x:f>IFERROR(S148/Q148,0)</x:f>
        <x:v>15.277431687115872</x:v>
      </x:c>
      <x:c r="Y148" s="30" t="str">
        <x:v>Моделируемые данные Unitmetra</x:v>
      </x:c>
    </x:row>
    <x:row r="149">
      <x:c r="A149" s="48" t="str">
        <x:v>2025-12</x:v>
      </x:c>
      <x:c r="B149" s="48" t="str">
        <x:v>UM-025</x:v>
      </x:c>
      <x:c r="C149" s="48" t="str">
        <x:v>Блузка в полоску</x:v>
      </x:c>
      <x:c r="D149" s="48" t="str">
        <x:v>Блузки</x:v>
      </x:c>
      <x:c r="E149" s="56" t="n">
        <x:v>2400</x:v>
      </x:c>
      <x:c r="F149" s="64" t="n">
        <x:v>0.35246390321115917</x:v>
      </x:c>
      <x:c r="G149" s="56" t="n">
        <x:v>731.7843373843542</x:v>
      </x:c>
      <x:c r="H149" s="64" t="n">
        <x:v>0.1889587781698661</x:v>
      </x:c>
      <x:c r="I149" s="56" t="n">
        <x:v>59</x:v>
      </x:c>
      <x:c r="J149" s="56" t="n">
        <x:v>22</x:v>
      </x:c>
      <x:c r="K149" s="56" t="n">
        <x:v>37</x:v>
      </x:c>
      <x:c r="L149" s="56" t="n">
        <x:v>1554.086632293218</x:v>
      </x:c>
      <x:c r="M149" s="56" t="n">
        <x:v>6767.119553178897</x:v>
      </x:c>
      <x:c r="N149" s="56" t="n">
        <x:v>1411.8281509674546</x:v>
      </x:c>
      <x:c r="O149" s="56" t="n">
        <x:v>534.8545135702359</x:v>
      </x:c>
      <x:c r="P149" s="56" t="n">
        <x:v>0</x:v>
      </x:c>
      <x:c r="Q149" s="56" t="n">
        <x:v>2725.5306920887106</x:v>
      </x:c>
      <x:c r="R149" s="68" t="n">
        <x:f>IFERROR(K149/I149,0)</x:f>
        <x:v>0.6271186440677966</x:v>
      </x:c>
      <x:c r="S149" s="60" t="n">
        <x:f>K149*L149</x:f>
        <x:v>57501.205394849065</x:v>
      </x:c>
      <x:c r="T149" s="60" t="n">
        <x:f>S149*H149</x:f>
        <x:v>10865.357514705192</x:v>
      </x:c>
      <x:c r="U149" s="60" t="n">
        <x:f>K149*G149</x:f>
        <x:v>27076.020483221106</x:v>
      </x:c>
      <x:c r="V149" s="60" t="n">
        <x:f>S149-T149-M149-N149-O149-P149-Q149-U149</x:f>
        <x:v>8120.49448711747</x:v>
      </x:c>
      <x:c r="W149" s="68" t="n">
        <x:f>IFERROR(V149/S149,0)</x:f>
        <x:v>0.14122303056702357</x:v>
      </x:c>
      <x:c r="X149" s="72" t="n">
        <x:f>IFERROR(S149/Q149,0)</x:f>
        <x:v>21.0972511011362</x:v>
      </x:c>
      <x:c r="Y149" s="30" t="str">
        <x:v>Моделируемые данные Unitmetra</x:v>
      </x:c>
    </x:row>
    <x:row r="150">
      <x:c r="A150" s="48" t="str">
        <x:v>2026-01</x:v>
      </x:c>
      <x:c r="B150" s="48" t="str">
        <x:v>UM-025</x:v>
      </x:c>
      <x:c r="C150" s="48" t="str">
        <x:v>Блузка в полоску</x:v>
      </x:c>
      <x:c r="D150" s="48" t="str">
        <x:v>Блузки</x:v>
      </x:c>
      <x:c r="E150" s="56" t="n">
        <x:v>2400</x:v>
      </x:c>
      <x:c r="F150" s="64" t="n">
        <x:v>0.32246390321115925</x:v>
      </x:c>
      <x:c r="G150" s="56" t="n">
        <x:v>731.7843373843542</x:v>
      </x:c>
      <x:c r="H150" s="64" t="n">
        <x:v>0.1889587781698661</x:v>
      </x:c>
      <x:c r="I150" s="56" t="n">
        <x:v>34</x:v>
      </x:c>
      <x:c r="J150" s="56" t="n">
        <x:v>10</x:v>
      </x:c>
      <x:c r="K150" s="56" t="n">
        <x:v>24</x:v>
      </x:c>
      <x:c r="L150" s="56" t="n">
        <x:v>1626.0866322932177</x:v>
      </x:c>
      <x:c r="M150" s="56" t="n">
        <x:v>3320.0629379335587</x:v>
      </x:c>
      <x:c r="N150" s="56" t="n">
        <x:v>813.0034416255108</x:v>
      </x:c>
      <x:c r="O150" s="56" t="n">
        <x:v>923.525433660228</x:v>
      </x:c>
      <x:c r="P150" s="56" t="n">
        <x:v>0</x:v>
      </x:c>
      <x:c r="Q150" s="56" t="n">
        <x:v>2070.038162763683</x:v>
      </x:c>
      <x:c r="R150" s="68" t="n">
        <x:f>IFERROR(K150/I150,0)</x:f>
        <x:v>0.7058823529411765</x:v>
      </x:c>
      <x:c r="S150" s="60" t="n">
        <x:f>K150*L150</x:f>
        <x:v>39026.07917503722</x:v>
      </x:c>
      <x:c r="T150" s="60" t="n">
        <x:f>S150*H150</x:f>
        <x:v>7374.320237675489</x:v>
      </x:c>
      <x:c r="U150" s="60" t="n">
        <x:f>K150*G150</x:f>
        <x:v>17562.8240972245</x:v>
      </x:c>
      <x:c r="V150" s="60" t="n">
        <x:f>S150-T150-M150-N150-O150-P150-Q150-U150</x:f>
        <x:v>6962.3048641542555</x:v>
      </x:c>
      <x:c r="W150" s="68" t="n">
        <x:f>IFERROR(V150/S150,0)</x:f>
        <x:v>0.17840134113722725</x:v>
      </x:c>
      <x:c r="X150" s="72" t="n">
        <x:f>IFERROR(S150/Q150,0)</x:f>
        <x:v>18.85283077242111</x:v>
      </x:c>
      <x:c r="Y150" s="30" t="str">
        <x:v>Моделируемые данные Unitmetra</x:v>
      </x:c>
    </x:row>
    <x:row r="151">
      <x:c r="A151" s="48" t="str">
        <x:v>2026-02</x:v>
      </x:c>
      <x:c r="B151" s="48" t="str">
        <x:v>UM-025</x:v>
      </x:c>
      <x:c r="C151" s="48" t="str">
        <x:v>Блузка в полоску</x:v>
      </x:c>
      <x:c r="D151" s="48" t="str">
        <x:v>Блузки</x:v>
      </x:c>
      <x:c r="E151" s="56" t="n">
        <x:v>2400</x:v>
      </x:c>
      <x:c r="F151" s="64" t="n">
        <x:v>0.30246390321115924</x:v>
      </x:c>
      <x:c r="G151" s="56" t="n">
        <x:v>731.7843373843542</x:v>
      </x:c>
      <x:c r="H151" s="64" t="n">
        <x:v>0.1889587781698661</x:v>
      </x:c>
      <x:c r="I151" s="56" t="n">
        <x:v>30</x:v>
      </x:c>
      <x:c r="J151" s="56" t="n">
        <x:v>11</x:v>
      </x:c>
      <x:c r="K151" s="56" t="n">
        <x:v>19</x:v>
      </x:c>
      <x:c r="L151" s="56" t="n">
        <x:v>1674.086632293218</x:v>
      </x:c>
      <x:c r="M151" s="56" t="n">
        <x:v>2686.006235234472</x:v>
      </x:c>
      <x:c r="N151" s="56" t="n">
        <x:v>770.9487292035167</x:v>
      </x:c>
      <x:c r="O151" s="56" t="n">
        <x:v>601.1373365688376</x:v>
      </x:c>
      <x:c r="P151" s="56" t="n">
        <x:v>0</x:v>
      </x:c>
      <x:c r="Q151" s="56" t="n">
        <x:v>1711.3769804314427</x:v>
      </x:c>
      <x:c r="R151" s="68" t="n">
        <x:f>IFERROR(K151/I151,0)</x:f>
        <x:v>0.6333333333333333</x:v>
      </x:c>
      <x:c r="S151" s="60" t="n">
        <x:f>K151*L151</x:f>
        <x:v>31807.64601357114</x:v>
      </x:c>
      <x:c r="T151" s="60" t="n">
        <x:f>S151*H151</x:f>
        <x:v>6010.333927184014</x:v>
      </x:c>
      <x:c r="U151" s="60" t="n">
        <x:f>K151*G151</x:f>
        <x:v>13903.90241030273</x:v>
      </x:c>
      <x:c r="V151" s="60" t="n">
        <x:f>S151-T151-M151-N151-O151-P151-Q151-U151</x:f>
        <x:v>6123.940394646124</x:v>
      </x:c>
      <x:c r="W151" s="68" t="n">
        <x:f>IFERROR(V151/S151,0)</x:f>
        <x:v>0.192530449818049</x:v>
      </x:c>
      <x:c r="X151" s="72" t="n">
        <x:f>IFERROR(S151/Q151,0)</x:f>
        <x:v>18.585996175753365</x:v>
      </x:c>
      <x:c r="Y151" s="30" t="str">
        <x:v>Моделируемые данные Unitmetra</x:v>
      </x:c>
    </x:row>
    <x:row r="152">
      <x:c r="A152" s="48" t="str">
        <x:v>2025-09</x:v>
      </x:c>
      <x:c r="B152" s="48" t="str">
        <x:v>UM-026</x:v>
      </x:c>
      <x:c r="C152" s="48" t="str">
        <x:v>Боди-рубашка</x:v>
      </x:c>
      <x:c r="D152" s="48" t="str">
        <x:v>Блузки</x:v>
      </x:c>
      <x:c r="E152" s="56" t="n">
        <x:v>1900</x:v>
      </x:c>
      <x:c r="F152" s="64" t="n">
        <x:v>0.20961552960048613</x:v>
      </x:c>
      <x:c r="G152" s="56" t="n">
        <x:v>739.261628604731</x:v>
      </x:c>
      <x:c r="H152" s="64" t="n">
        <x:v>0.20620128068099322</x:v>
      </x:c>
      <x:c r="I152" s="56" t="n">
        <x:v>48</x:v>
      </x:c>
      <x:c r="J152" s="56" t="n">
        <x:v>19</x:v>
      </x:c>
      <x:c r="K152" s="56" t="n">
        <x:v>29</x:v>
      </x:c>
      <x:c r="L152" s="56" t="n">
        <x:v>1501.7304937590764</x:v>
      </x:c>
      <x:c r="M152" s="56" t="n">
        <x:v>5254.124577987625</x:v>
      </x:c>
      <x:c r="N152" s="56" t="n">
        <x:v>1431.4439559506754</x:v>
      </x:c>
      <x:c r="O152" s="56" t="n">
        <x:v>728.332446950545</x:v>
      </x:c>
      <x:c r="P152" s="56" t="n">
        <x:v>0</x:v>
      </x:c>
      <x:c r="Q152" s="56" t="n">
        <x:v>4201.668678099061</x:v>
      </x:c>
      <x:c r="R152" s="68" t="n">
        <x:f>IFERROR(K152/I152,0)</x:f>
        <x:v>0.6041666666666666</x:v>
      </x:c>
      <x:c r="S152" s="60" t="n">
        <x:f>K152*L152</x:f>
        <x:v>43550.18431901321</x:v>
      </x:c>
      <x:c r="T152" s="60" t="n">
        <x:f>S152*H152</x:f>
        <x:v>8980.103780473833</x:v>
      </x:c>
      <x:c r="U152" s="60" t="n">
        <x:f>K152*G152</x:f>
        <x:v>21438.5872295372</x:v>
      </x:c>
      <x:c r="V152" s="60" t="n">
        <x:f>S152-T152-M152-N152-O152-P152-Q152-U152</x:f>
        <x:v>1515.9236500142688</x:v>
      </x:c>
      <x:c r="W152" s="68" t="n">
        <x:f>IFERROR(V152/S152,0)</x:f>
        <x:v>0.03480866209221632</x:v>
      </x:c>
      <x:c r="X152" s="72" t="n">
        <x:f>IFERROR(S152/Q152,0)</x:f>
        <x:v>10.36497345590714</x:v>
      </x:c>
      <x:c r="Y152" s="30" t="str">
        <x:v>Моделируемые данные Unitmetra</x:v>
      </x:c>
    </x:row>
    <x:row r="153">
      <x:c r="A153" s="48" t="str">
        <x:v>2025-10</x:v>
      </x:c>
      <x:c r="B153" s="48" t="str">
        <x:v>UM-026</x:v>
      </x:c>
      <x:c r="C153" s="48" t="str">
        <x:v>Боди-рубашка</x:v>
      </x:c>
      <x:c r="D153" s="48" t="str">
        <x:v>Блузки</x:v>
      </x:c>
      <x:c r="E153" s="56" t="n">
        <x:v>1900</x:v>
      </x:c>
      <x:c r="F153" s="64" t="n">
        <x:v>0.21961552960048614</x:v>
      </x:c>
      <x:c r="G153" s="56" t="n">
        <x:v>739.261628604731</x:v>
      </x:c>
      <x:c r="H153" s="64" t="n">
        <x:v>0.20620128068099322</x:v>
      </x:c>
      <x:c r="I153" s="56" t="n">
        <x:v>56</x:v>
      </x:c>
      <x:c r="J153" s="56" t="n">
        <x:v>21</x:v>
      </x:c>
      <x:c r="K153" s="56" t="n">
        <x:v>35</x:v>
      </x:c>
      <x:c r="L153" s="56" t="n">
        <x:v>1482.7304937590764</x:v>
      </x:c>
      <x:c r="M153" s="56" t="n">
        <x:v>6684.574993483519</x:v>
      </x:c>
      <x:c r="N153" s="56" t="n">
        <x:v>1376.79192477072</x:v>
      </x:c>
      <x:c r="O153" s="56" t="n">
        <x:v>1097.9457889667997</x:v>
      </x:c>
      <x:c r="P153" s="56" t="n">
        <x:v>98.31027790063617</x:v>
      </x:c>
      <x:c r="Q153" s="56" t="n">
        <x:v>5069.306372770615</x:v>
      </x:c>
      <x:c r="R153" s="68" t="n">
        <x:f>IFERROR(K153/I153,0)</x:f>
        <x:v>0.625</x:v>
      </x:c>
      <x:c r="S153" s="60" t="n">
        <x:f>K153*L153</x:f>
        <x:v>51895.56728156767</x:v>
      </x:c>
      <x:c r="T153" s="60" t="n">
        <x:f>S153*H153</x:f>
        <x:v>10700.932435125904</x:v>
      </x:c>
      <x:c r="U153" s="60" t="n">
        <x:f>K153*G153</x:f>
        <x:v>25874.157001165582</x:v>
      </x:c>
      <x:c r="V153" s="60" t="n">
        <x:f>S153-T153-M153-N153-O153-P153-Q153-U153</x:f>
        <x:v>993.5484873838977</x:v>
      </x:c>
      <x:c r="W153" s="68" t="n">
        <x:f>IFERROR(V153/S153,0)</x:f>
        <x:v>0.019145151299594473</x:v>
      </x:c>
      <x:c r="X153" s="72" t="n">
        <x:f>IFERROR(S153/Q153,0)</x:f>
        <x:v>10.237212641224582</x:v>
      </x:c>
      <x:c r="Y153" s="30" t="str">
        <x:v>Моделируемые данные Unitmetra</x:v>
      </x:c>
    </x:row>
    <x:row r="154">
      <x:c r="A154" s="48" t="str">
        <x:v>2025-11</x:v>
      </x:c>
      <x:c r="B154" s="48" t="str">
        <x:v>UM-026</x:v>
      </x:c>
      <x:c r="C154" s="48" t="str">
        <x:v>Боди-рубашка</x:v>
      </x:c>
      <x:c r="D154" s="48" t="str">
        <x:v>Блузки</x:v>
      </x:c>
      <x:c r="E154" s="56" t="n">
        <x:v>1900</x:v>
      </x:c>
      <x:c r="F154" s="64" t="n">
        <x:v>0.24961552960048605</x:v>
      </x:c>
      <x:c r="G154" s="56" t="n">
        <x:v>739.261628604731</x:v>
      </x:c>
      <x:c r="H154" s="64" t="n">
        <x:v>0.20620128068099322</x:v>
      </x:c>
      <x:c r="I154" s="56" t="n">
        <x:v>65</x:v>
      </x:c>
      <x:c r="J154" s="56" t="n">
        <x:v>23</x:v>
      </x:c>
      <x:c r="K154" s="56" t="n">
        <x:v>42</x:v>
      </x:c>
      <x:c r="L154" s="56" t="n">
        <x:v>1425.7304937590766</x:v>
      </x:c>
      <x:c r="M154" s="56" t="n">
        <x:v>6195.236223228665</x:v>
      </x:c>
      <x:c r="N154" s="56" t="n">
        <x:v>1941.185192524209</x:v>
      </x:c>
      <x:c r="O154" s="56" t="n">
        <x:v>814.9242275324958</x:v>
      </x:c>
      <x:c r="P154" s="56" t="n">
        <x:v>0</x:v>
      </x:c>
      <x:c r="Q154" s="56" t="n">
        <x:v>5977.463771023104</x:v>
      </x:c>
      <x:c r="R154" s="68" t="n">
        <x:f>IFERROR(K154/I154,0)</x:f>
        <x:v>0.6461538461538462</x:v>
      </x:c>
      <x:c r="S154" s="60" t="n">
        <x:f>K154*L154</x:f>
        <x:v>59880.680737881215</x:v>
      </x:c>
      <x:c r="T154" s="60" t="n">
        <x:f>S154*H154</x:f>
        <x:v>12347.473056200788</x:v>
      </x:c>
      <x:c r="U154" s="60" t="n">
        <x:f>K154*G154</x:f>
        <x:v>31048.9884013987</x:v>
      </x:c>
      <x:c r="V154" s="60" t="n">
        <x:f>S154-T154-M154-N154-O154-P154-Q154-U154</x:f>
        <x:v>1555.409865973259</x:v>
      </x:c>
      <x:c r="W154" s="68" t="n">
        <x:f>IFERROR(V154/S154,0)</x:f>
        <x:v>0.025975153368443398</x:v>
      </x:c>
      <x:c r="X154" s="72" t="n">
        <x:f>IFERROR(S154/Q154,0)</x:f>
        <x:v>10.017740471830919</x:v>
      </x:c>
      <x:c r="Y154" s="30" t="str">
        <x:v>Моделируемые данные Unitmetra</x:v>
      </x:c>
    </x:row>
    <x:row r="155">
      <x:c r="A155" s="48" t="str">
        <x:v>2025-12</x:v>
      </x:c>
      <x:c r="B155" s="48" t="str">
        <x:v>UM-026</x:v>
      </x:c>
      <x:c r="C155" s="48" t="str">
        <x:v>Боди-рубашка</x:v>
      </x:c>
      <x:c r="D155" s="48" t="str">
        <x:v>Блузки</x:v>
      </x:c>
      <x:c r="E155" s="56" t="n">
        <x:v>1900</x:v>
      </x:c>
      <x:c r="F155" s="64" t="n">
        <x:v>0.26961552960048596</x:v>
      </x:c>
      <x:c r="G155" s="56" t="n">
        <x:v>739.261628604731</x:v>
      </x:c>
      <x:c r="H155" s="64" t="n">
        <x:v>0.20620128068099322</x:v>
      </x:c>
      <x:c r="I155" s="56" t="n">
        <x:v>75</x:v>
      </x:c>
      <x:c r="J155" s="56" t="n">
        <x:v>30</x:v>
      </x:c>
      <x:c r="K155" s="56" t="n">
        <x:v>45</x:v>
      </x:c>
      <x:c r="L155" s="56" t="n">
        <x:v>1387.7304937590766</x:v>
      </x:c>
      <x:c r="M155" s="56" t="n">
        <x:v>8488.786227257115</x:v>
      </x:c>
      <x:c r="N155" s="56" t="n">
        <x:v>1672.0057567938134</x:v>
      </x:c>
      <x:c r="O155" s="56" t="n">
        <x:v>1017.5382890856408</x:v>
      </x:c>
      <x:c r="P155" s="56" t="n">
        <x:v>0</x:v>
      </x:c>
      <x:c r="Q155" s="56" t="n">
        <x:v>5314.362245318359</x:v>
      </x:c>
      <x:c r="R155" s="68" t="n">
        <x:f>IFERROR(K155/I155,0)</x:f>
        <x:v>0.6</x:v>
      </x:c>
      <x:c r="S155" s="60" t="n">
        <x:f>K155*L155</x:f>
        <x:v>62447.872219158446</x:v>
      </x:c>
      <x:c r="T155" s="60" t="n">
        <x:f>S155*H155</x:f>
        <x:v>12876.83122739349</x:v>
      </x:c>
      <x:c r="U155" s="60" t="n">
        <x:f>K155*G155</x:f>
        <x:v>33266.77328721289</x:v>
      </x:c>
      <x:c r="V155" s="60" t="n">
        <x:f>S155-T155-M155-N155-O155-P155-Q155-U155</x:f>
        <x:v>-188.42481390286412</x:v>
      </x:c>
      <x:c r="W155" s="68" t="n">
        <x:f>IFERROR(V155/S155,0)</x:f>
        <x:v>-0.003017313596235823</x:v>
      </x:c>
      <x:c r="X155" s="72" t="n">
        <x:f>IFERROR(S155/Q155,0)</x:f>
        <x:v>11.750774474241261</x:v>
      </x:c>
      <x:c r="Y155" s="30" t="str">
        <x:v>Моделируемые данные Unitmetra</x:v>
      </x:c>
    </x:row>
    <x:row r="156">
      <x:c r="A156" s="48" t="str">
        <x:v>2026-01</x:v>
      </x:c>
      <x:c r="B156" s="48" t="str">
        <x:v>UM-026</x:v>
      </x:c>
      <x:c r="C156" s="48" t="str">
        <x:v>Боди-рубашка</x:v>
      </x:c>
      <x:c r="D156" s="48" t="str">
        <x:v>Блузки</x:v>
      </x:c>
      <x:c r="E156" s="56" t="n">
        <x:v>1900</x:v>
      </x:c>
      <x:c r="F156" s="64" t="n">
        <x:v>0.23961552960048615</x:v>
      </x:c>
      <x:c r="G156" s="56" t="n">
        <x:v>739.261628604731</x:v>
      </x:c>
      <x:c r="H156" s="64" t="n">
        <x:v>0.20620128068099322</x:v>
      </x:c>
      <x:c r="I156" s="56" t="n">
        <x:v>40</x:v>
      </x:c>
      <x:c r="J156" s="56" t="n">
        <x:v>15</x:v>
      </x:c>
      <x:c r="K156" s="56" t="n">
        <x:v>25</x:v>
      </x:c>
      <x:c r="L156" s="56" t="n">
        <x:v>1444.7304937590764</x:v>
      </x:c>
      <x:c r="M156" s="56" t="n">
        <x:v>4584.160371057037</x:v>
      </x:c>
      <x:c r="N156" s="56" t="n">
        <x:v>838.9017766662145</x:v>
      </x:c>
      <x:c r="O156" s="56" t="n">
        <x:v>744.8156949160202</x:v>
      </x:c>
      <x:c r="P156" s="56" t="n">
        <x:v>0</x:v>
      </x:c>
      <x:c r="Q156" s="56" t="n">
        <x:v>3515.5435742898885</x:v>
      </x:c>
      <x:c r="R156" s="68" t="n">
        <x:f>IFERROR(K156/I156,0)</x:f>
        <x:v>0.625</x:v>
      </x:c>
      <x:c r="S156" s="60" t="n">
        <x:f>K156*L156</x:f>
        <x:v>36118.26234397691</x:v>
      </x:c>
      <x:c r="T156" s="60" t="n">
        <x:f>S156*H156</x:f>
        <x:v>7447.631951300131</x:v>
      </x:c>
      <x:c r="U156" s="60" t="n">
        <x:f>K156*G156</x:f>
        <x:v>18481.540715118274</x:v>
      </x:c>
      <x:c r="V156" s="60" t="n">
        <x:f>S156-T156-M156-N156-O156-P156-Q156-U156</x:f>
        <x:v>505.6682606293434</x:v>
      </x:c>
      <x:c r="W156" s="68" t="n">
        <x:f>IFERROR(V156/S156,0)</x:f>
        <x:v>0.014000348516591049</x:v>
      </x:c>
      <x:c r="X156" s="72" t="n">
        <x:f>IFERROR(S156/Q156,0)</x:f>
        <x:v>10.273877020930541</x:v>
      </x:c>
      <x:c r="Y156" s="30" t="str">
        <x:v>Моделируемые данные Unitmetra</x:v>
      </x:c>
    </x:row>
    <x:row r="157">
      <x:c r="A157" s="48" t="str">
        <x:v>2026-02</x:v>
      </x:c>
      <x:c r="B157" s="48" t="str">
        <x:v>UM-026</x:v>
      </x:c>
      <x:c r="C157" s="48" t="str">
        <x:v>Боди-рубашка</x:v>
      </x:c>
      <x:c r="D157" s="48" t="str">
        <x:v>Блузки</x:v>
      </x:c>
      <x:c r="E157" s="56" t="n">
        <x:v>1900</x:v>
      </x:c>
      <x:c r="F157" s="64" t="n">
        <x:v>0.21961552960048614</x:v>
      </x:c>
      <x:c r="G157" s="56" t="n">
        <x:v>739.261628604731</x:v>
      </x:c>
      <x:c r="H157" s="64" t="n">
        <x:v>0.20620128068099322</x:v>
      </x:c>
      <x:c r="I157" s="56" t="n">
        <x:v>41</x:v>
      </x:c>
      <x:c r="J157" s="56" t="n">
        <x:v>14</x:v>
      </x:c>
      <x:c r="K157" s="56" t="n">
        <x:v>27</x:v>
      </x:c>
      <x:c r="L157" s="56" t="n">
        <x:v>1482.7304937590764</x:v>
      </x:c>
      <x:c r="M157" s="56" t="n">
        <x:v>4503.551485493359</x:v>
      </x:c>
      <x:c r="N157" s="56" t="n">
        <x:v>1141.9961717605124</x:v>
      </x:c>
      <x:c r="O157" s="56" t="n">
        <x:v>1020.6552860792079</x:v>
      </x:c>
      <x:c r="P157" s="56" t="n">
        <x:v>0</x:v>
      </x:c>
      <x:c r="Q157" s="56" t="n">
        <x:v>3497.556593409235</x:v>
      </x:c>
      <x:c r="R157" s="68" t="n">
        <x:f>IFERROR(K157/I157,0)</x:f>
        <x:v>0.6585365853658537</x:v>
      </x:c>
      <x:c r="S157" s="60" t="n">
        <x:f>K157*L157</x:f>
        <x:v>40033.723331495064</x:v>
      </x:c>
      <x:c r="T157" s="60" t="n">
        <x:f>S157*H157</x:f>
        <x:v>8255.00502138284</x:v>
      </x:c>
      <x:c r="U157" s="60" t="n">
        <x:f>K157*G157</x:f>
        <x:v>19960.063972327735</x:v>
      </x:c>
      <x:c r="V157" s="60" t="n">
        <x:f>S157-T157-M157-N157-O157-P157-Q157-U157</x:f>
        <x:v>1654.8948010421773</x:v>
      </x:c>
      <x:c r="W157" s="68" t="n">
        <x:f>IFERROR(V157/S157,0)</x:f>
        <x:v>0.041337519054597885</x:v>
      </x:c>
      <x:c r="X157" s="72" t="n">
        <x:f>IFERROR(S157/Q157,0)</x:f>
        <x:v>11.446197441646623</x:v>
      </x:c>
      <x:c r="Y157" s="30" t="str">
        <x:v>Моделируемые данные Unitmetra</x:v>
      </x:c>
    </x:row>
    <x:row r="158">
      <x:c r="A158" s="48" t="str">
        <x:v>2025-09</x:v>
      </x:c>
      <x:c r="B158" s="48" t="str">
        <x:v>UM-027</x:v>
      </x:c>
      <x:c r="C158" s="48" t="str">
        <x:v>Палаццо</x:v>
      </x:c>
      <x:c r="D158" s="48" t="str">
        <x:v>Брюки</x:v>
      </x:c>
      <x:c r="E158" s="56" t="n">
        <x:v>3400</x:v>
      </x:c>
      <x:c r="F158" s="64" t="n">
        <x:v>0.19054864829292684</x:v>
      </x:c>
      <x:c r="G158" s="56" t="n">
        <x:v>1389.6356256852507</x:v>
      </x:c>
      <x:c r="H158" s="64" t="n">
        <x:v>0.19307802051057985</x:v>
      </x:c>
      <x:c r="I158" s="56" t="n">
        <x:v>37</x:v>
      </x:c>
      <x:c r="J158" s="56" t="n">
        <x:v>23</x:v>
      </x:c>
      <x:c r="K158" s="56" t="n">
        <x:v>14</x:v>
      </x:c>
      <x:c r="L158" s="56" t="n">
        <x:v>2752.134595804049</x:v>
      </x:c>
      <x:c r="M158" s="56" t="n">
        <x:v>4378.602635083669</x:v>
      </x:c>
      <x:c r="N158" s="56" t="n">
        <x:v>1754.91164723769</x:v>
      </x:c>
      <x:c r="O158" s="56" t="n">
        <x:v>859.2420516678759</x:v>
      </x:c>
      <x:c r="P158" s="56" t="n">
        <x:v>0</x:v>
      </x:c>
      <x:c r="Q158" s="56" t="n">
        <x:v>11574.45255811996</x:v>
      </x:c>
      <x:c r="R158" s="68" t="n">
        <x:f>IFERROR(K158/I158,0)</x:f>
        <x:v>0.3783783783783784</x:v>
      </x:c>
      <x:c r="S158" s="60" t="n">
        <x:f>K158*L158</x:f>
        <x:v>38529.884341256686</x:v>
      </x:c>
      <x:c r="T158" s="60" t="n">
        <x:f>S158*H158</x:f>
        <x:v>7439.273799111427</x:v>
      </x:c>
      <x:c r="U158" s="60" t="n">
        <x:f>K158*G158</x:f>
        <x:v>19454.89875959351</x:v>
      </x:c>
      <x:c r="V158" s="60" t="n">
        <x:f>S158-T158-M158-N158-O158-P158-Q158-U158</x:f>
        <x:v>-6931.497109557447</x:v>
      </x:c>
      <x:c r="W158" s="68" t="n">
        <x:f>IFERROR(V158/S158,0)</x:f>
        <x:v>-0.17989924517202355</x:v>
      </x:c>
      <x:c r="X158" s="72" t="n">
        <x:f>IFERROR(S158/Q158,0)</x:f>
        <x:v>3.3288731495319293</x:v>
      </x:c>
      <x:c r="Y158" s="30" t="str">
        <x:v>Моделируемые данные Unitmetra</x:v>
      </x:c>
    </x:row>
    <x:row r="159">
      <x:c r="A159" s="48" t="str">
        <x:v>2025-10</x:v>
      </x:c>
      <x:c r="B159" s="48" t="str">
        <x:v>UM-027</x:v>
      </x:c>
      <x:c r="C159" s="48" t="str">
        <x:v>Палаццо</x:v>
      </x:c>
      <x:c r="D159" s="48" t="str">
        <x:v>Брюки</x:v>
      </x:c>
      <x:c r="E159" s="56" t="n">
        <x:v>3400</x:v>
      </x:c>
      <x:c r="F159" s="64" t="n">
        <x:v>0.20054864829292685</x:v>
      </x:c>
      <x:c r="G159" s="56" t="n">
        <x:v>1389.6356256852507</x:v>
      </x:c>
      <x:c r="H159" s="64" t="n">
        <x:v>0.19307802051057985</x:v>
      </x:c>
      <x:c r="I159" s="56" t="n">
        <x:v>43</x:v>
      </x:c>
      <x:c r="J159" s="56" t="n">
        <x:v>27</x:v>
      </x:c>
      <x:c r="K159" s="56" t="n">
        <x:v>16</x:v>
      </x:c>
      <x:c r="L159" s="56" t="n">
        <x:v>2718.134595804049</x:v>
      </x:c>
      <x:c r="M159" s="56" t="n">
        <x:v>3786.640157674899</x:v>
      </x:c>
      <x:c r="N159" s="56" t="n">
        <x:v>2204.3275429620444</x:v>
      </x:c>
      <x:c r="O159" s="56" t="n">
        <x:v>635.3773751606351</x:v>
      </x:c>
      <x:c r="P159" s="56" t="n">
        <x:v>20.19913892490634</x:v>
      </x:c>
      <x:c r="Q159" s="56" t="n">
        <x:v>12781.779495891711</x:v>
      </x:c>
      <x:c r="R159" s="68" t="n">
        <x:f>IFERROR(K159/I159,0)</x:f>
        <x:v>0.37209302325581395</x:v>
      </x:c>
      <x:c r="S159" s="60" t="n">
        <x:f>K159*L159</x:f>
        <x:v>43490.15353286478</x:v>
      </x:c>
      <x:c r="T159" s="60" t="n">
        <x:f>S159*H159</x:f>
        <x:v>8396.992755826732</x:v>
      </x:c>
      <x:c r="U159" s="60" t="n">
        <x:f>K159*G159</x:f>
        <x:v>22234.17001096401</x:v>
      </x:c>
      <x:c r="V159" s="60" t="n">
        <x:f>S159-T159-M159-N159-O159-P159-Q159-U159</x:f>
        <x:v>-6569.332944540154</x:v>
      </x:c>
      <x:c r="W159" s="68" t="n">
        <x:f>IFERROR(V159/S159,0)</x:f>
        <x:v>-0.1510533399146503</x:v>
      </x:c>
      <x:c r="X159" s="72" t="n">
        <x:f>IFERROR(S159/Q159,0)</x:f>
        <x:v>3.4025116414223295</x:v>
      </x:c>
      <x:c r="Y159" s="30" t="str">
        <x:v>Моделируемые данные Unitmetra</x:v>
      </x:c>
    </x:row>
    <x:row r="160">
      <x:c r="A160" s="48" t="str">
        <x:v>2025-11</x:v>
      </x:c>
      <x:c r="B160" s="48" t="str">
        <x:v>UM-027</x:v>
      </x:c>
      <x:c r="C160" s="48" t="str">
        <x:v>Палаццо</x:v>
      </x:c>
      <x:c r="D160" s="48" t="str">
        <x:v>Брюки</x:v>
      </x:c>
      <x:c r="E160" s="56" t="n">
        <x:v>3400</x:v>
      </x:c>
      <x:c r="F160" s="64" t="n">
        <x:v>0.23054864829292687</x:v>
      </x:c>
      <x:c r="G160" s="56" t="n">
        <x:v>1389.6356256852507</x:v>
      </x:c>
      <x:c r="H160" s="64" t="n">
        <x:v>0.19307802051057985</x:v>
      </x:c>
      <x:c r="I160" s="56" t="n">
        <x:v>51</x:v>
      </x:c>
      <x:c r="J160" s="56" t="n">
        <x:v>31</x:v>
      </x:c>
      <x:c r="K160" s="56" t="n">
        <x:v>20</x:v>
      </x:c>
      <x:c r="L160" s="56" t="n">
        <x:v>2616.134595804049</x:v>
      </x:c>
      <x:c r="M160" s="56" t="n">
        <x:v>4425.034803061026</x:v>
      </x:c>
      <x:c r="N160" s="56" t="n">
        <x:v>1901.9481120236685</x:v>
      </x:c>
      <x:c r="O160" s="56" t="n">
        <x:v>308.1128470520481</x:v>
      </x:c>
      <x:c r="P160" s="56" t="n">
        <x:v>0</x:v>
      </x:c>
      <x:c r="Q160" s="56" t="n">
        <x:v>16144.429077633464</x:v>
      </x:c>
      <x:c r="R160" s="68" t="n">
        <x:f>IFERROR(K160/I160,0)</x:f>
        <x:v>0.39215686274509803</x:v>
      </x:c>
      <x:c r="S160" s="60" t="n">
        <x:f>K160*L160</x:f>
        <x:v>52322.69191608098</x:v>
      </x:c>
      <x:c r="T160" s="60" t="n">
        <x:f>S160*H160</x:f>
        <x:v>10102.361782941833</x:v>
      </x:c>
      <x:c r="U160" s="60" t="n">
        <x:f>K160*G160</x:f>
        <x:v>27792.712513705013</x:v>
      </x:c>
      <x:c r="V160" s="60" t="n">
        <x:f>S160-T160-M160-N160-O160-P160-Q160-U160</x:f>
        <x:v>-8351.907220336077</x:v>
      </x:c>
      <x:c r="W160" s="68" t="n">
        <x:f>IFERROR(V160/S160,0)</x:f>
        <x:v>-0.1596230414469402</x:v>
      </x:c>
      <x:c r="X160" s="72" t="n">
        <x:f>IFERROR(S160/Q160,0)</x:f>
        <x:v>3.240913114020797</x:v>
      </x:c>
      <x:c r="Y160" s="30" t="str">
        <x:v>Моделируемые данные Unitmetra</x:v>
      </x:c>
    </x:row>
    <x:row r="161">
      <x:c r="A161" s="48" t="str">
        <x:v>2025-12</x:v>
      </x:c>
      <x:c r="B161" s="48" t="str">
        <x:v>UM-027</x:v>
      </x:c>
      <x:c r="C161" s="48" t="str">
        <x:v>Палаццо</x:v>
      </x:c>
      <x:c r="D161" s="48" t="str">
        <x:v>Брюки</x:v>
      </x:c>
      <x:c r="E161" s="56" t="n">
        <x:v>3400</x:v>
      </x:c>
      <x:c r="F161" s="64" t="n">
        <x:v>0.2505486482929268</x:v>
      </x:c>
      <x:c r="G161" s="56" t="n">
        <x:v>1389.6356256852507</x:v>
      </x:c>
      <x:c r="H161" s="64" t="n">
        <x:v>0.19307802051057985</x:v>
      </x:c>
      <x:c r="I161" s="56" t="n">
        <x:v>61</x:v>
      </x:c>
      <x:c r="J161" s="56" t="n">
        <x:v>40</x:v>
      </x:c>
      <x:c r="K161" s="56" t="n">
        <x:v>21</x:v>
      </x:c>
      <x:c r="L161" s="56" t="n">
        <x:v>2548.134595804049</x:v>
      </x:c>
      <x:c r="M161" s="56" t="n">
        <x:v>6898.501213241397</x:v>
      </x:c>
      <x:c r="N161" s="56" t="n">
        <x:v>2896.288260091532</x:v>
      </x:c>
      <x:c r="O161" s="56" t="n">
        <x:v>996.5244409073521</x:v>
      </x:c>
      <x:c r="P161" s="56" t="n">
        <x:v>0</x:v>
      </x:c>
      <x:c r="Q161" s="56" t="n">
        <x:v>16041.938812306871</x:v>
      </x:c>
      <x:c r="R161" s="68" t="n">
        <x:f>IFERROR(K161/I161,0)</x:f>
        <x:v>0.3442622950819672</x:v>
      </x:c>
      <x:c r="S161" s="60" t="n">
        <x:f>K161*L161</x:f>
        <x:v>53510.826511885025</x:v>
      </x:c>
      <x:c r="T161" s="60" t="n">
        <x:f>S161*H161</x:f>
        <x:v>10331.764458799817</x:v>
      </x:c>
      <x:c r="U161" s="60" t="n">
        <x:f>K161*G161</x:f>
        <x:v>29182.348139390266</x:v>
      </x:c>
      <x:c r="V161" s="60" t="n">
        <x:f>S161-T161-M161-N161-O161-P161-Q161-U161</x:f>
        <x:v>-12836.53881285221</x:v>
      </x:c>
      <x:c r="W161" s="68" t="n">
        <x:f>IFERROR(V161/S161,0)</x:f>
        <x:v>-0.23988676029889297</x:v>
      </x:c>
      <x:c r="X161" s="72" t="n">
        <x:f>IFERROR(S161/Q161,0)</x:f>
        <x:v>3.3356832448976306</x:v>
      </x:c>
      <x:c r="Y161" s="30" t="str">
        <x:v>Моделируемые данные Unitmetra</x:v>
      </x:c>
    </x:row>
    <x:row r="162">
      <x:c r="A162" s="48" t="str">
        <x:v>2026-01</x:v>
      </x:c>
      <x:c r="B162" s="48" t="str">
        <x:v>UM-027</x:v>
      </x:c>
      <x:c r="C162" s="48" t="str">
        <x:v>Палаццо</x:v>
      </x:c>
      <x:c r="D162" s="48" t="str">
        <x:v>Брюки</x:v>
      </x:c>
      <x:c r="E162" s="56" t="n">
        <x:v>3400</x:v>
      </x:c>
      <x:c r="F162" s="64" t="n">
        <x:v>0.22054864829292686</x:v>
      </x:c>
      <x:c r="G162" s="56" t="n">
        <x:v>1389.6356256852507</x:v>
      </x:c>
      <x:c r="H162" s="64" t="n">
        <x:v>0.19307802051057985</x:v>
      </x:c>
      <x:c r="I162" s="56" t="n">
        <x:v>35</x:v>
      </x:c>
      <x:c r="J162" s="56" t="n">
        <x:v>21</x:v>
      </x:c>
      <x:c r="K162" s="56" t="n">
        <x:v>14</x:v>
      </x:c>
      <x:c r="L162" s="56" t="n">
        <x:v>2650.134595804049</x:v>
      </x:c>
      <x:c r="M162" s="56" t="n">
        <x:v>3426.349852508953</x:v>
      </x:c>
      <x:c r="N162" s="56" t="n">
        <x:v>1373.0202084299829</x:v>
      </x:c>
      <x:c r="O162" s="56" t="n">
        <x:v>601.6044472665275</x:v>
      </x:c>
      <x:c r="P162" s="56" t="n">
        <x:v>0</x:v>
      </x:c>
      <x:c r="Q162" s="56" t="n">
        <x:v>10641.346179143802</x:v>
      </x:c>
      <x:c r="R162" s="68" t="n">
        <x:f>IFERROR(K162/I162,0)</x:f>
        <x:v>0.4</x:v>
      </x:c>
      <x:c r="S162" s="60" t="n">
        <x:f>K162*L162</x:f>
        <x:v>37101.884341256686</x:v>
      </x:c>
      <x:c r="T162" s="60" t="n">
        <x:f>S162*H162</x:f>
        <x:v>7163.55838582232</x:v>
      </x:c>
      <x:c r="U162" s="60" t="n">
        <x:f>K162*G162</x:f>
        <x:v>19454.89875959351</x:v>
      </x:c>
      <x:c r="V162" s="60" t="n">
        <x:f>S162-T162-M162-N162-O162-P162-Q162-U162</x:f>
        <x:v>-5558.893491508406</x:v>
      </x:c>
      <x:c r="W162" s="68" t="n">
        <x:f>IFERROR(V162/S162,0)</x:f>
        <x:v>-0.14982779419984898</x:v>
      </x:c>
      <x:c r="X162" s="72" t="n">
        <x:f>IFERROR(S162/Q162,0)</x:f>
        <x:v>3.4865780810677363</x:v>
      </x:c>
      <x:c r="Y162" s="30" t="str">
        <x:v>Моделируемые данные Unitmetra</x:v>
      </x:c>
    </x:row>
    <x:row r="163">
      <x:c r="A163" s="48" t="str">
        <x:v>2026-02</x:v>
      </x:c>
      <x:c r="B163" s="48" t="str">
        <x:v>UM-027</x:v>
      </x:c>
      <x:c r="C163" s="48" t="str">
        <x:v>Палаццо</x:v>
      </x:c>
      <x:c r="D163" s="48" t="str">
        <x:v>Брюки</x:v>
      </x:c>
      <x:c r="E163" s="56" t="n">
        <x:v>3400</x:v>
      </x:c>
      <x:c r="F163" s="64" t="n">
        <x:v>0.20054864829292685</x:v>
      </x:c>
      <x:c r="G163" s="56" t="n">
        <x:v>1389.6356256852507</x:v>
      </x:c>
      <x:c r="H163" s="64" t="n">
        <x:v>0.19307802051057985</x:v>
      </x:c>
      <x:c r="I163" s="56" t="n">
        <x:v>36</x:v>
      </x:c>
      <x:c r="J163" s="56" t="n">
        <x:v>24</x:v>
      </x:c>
      <x:c r="K163" s="56" t="n">
        <x:v>12</x:v>
      </x:c>
      <x:c r="L163" s="56" t="n">
        <x:v>2718.134595804049</x:v>
      </x:c>
      <x:c r="M163" s="56" t="n">
        <x:v>4092.5810185520254</x:v>
      </x:c>
      <x:c r="N163" s="56" t="n">
        <x:v>1557.7449328303665</x:v>
      </x:c>
      <x:c r="O163" s="56" t="n">
        <x:v>612.5022980552509</x:v>
      </x:c>
      <x:c r="P163" s="56" t="n">
        <x:v>0</x:v>
      </x:c>
      <x:c r="Q163" s="56" t="n">
        <x:v>9953.925157184181</x:v>
      </x:c>
      <x:c r="R163" s="68" t="n">
        <x:f>IFERROR(K163/I163,0)</x:f>
        <x:v>0.3333333333333333</x:v>
      </x:c>
      <x:c r="S163" s="60" t="n">
        <x:f>K163*L163</x:f>
        <x:v>32617.615149648584</x:v>
      </x:c>
      <x:c r="T163" s="60" t="n">
        <x:f>S163*H163</x:f>
        <x:v>6297.744566870049</x:v>
      </x:c>
      <x:c r="U163" s="60" t="n">
        <x:f>K163*G163</x:f>
        <x:v>16675.62750822301</x:v>
      </x:c>
      <x:c r="V163" s="60" t="n">
        <x:f>S163-T163-M163-N163-O163-P163-Q163-U163</x:f>
        <x:v>-6572.5103320662965</x:v>
      </x:c>
      <x:c r="W163" s="68" t="n">
        <x:f>IFERROR(V163/S163,0)</x:f>
        <x:v>-0.2015018664581033</x:v>
      </x:c>
      <x:c r="X163" s="72" t="n">
        <x:f>IFERROR(S163/Q163,0)</x:f>
        <x:v>3.276859594037336</x:v>
      </x:c>
      <x:c r="Y163" s="30" t="str">
        <x:v>Моделируемые данные Unitmetra</x:v>
      </x:c>
    </x:row>
    <x:row r="164">
      <x:c r="A164" s="48" t="str">
        <x:v>2025-09</x:v>
      </x:c>
      <x:c r="B164" s="48" t="str">
        <x:v>UM-028</x:v>
      </x:c>
      <x:c r="C164" s="48" t="str">
        <x:v>Классические прямые</x:v>
      </x:c>
      <x:c r="D164" s="48" t="str">
        <x:v>Брюки</x:v>
      </x:c>
      <x:c r="E164" s="56" t="n">
        <x:v>2800</x:v>
      </x:c>
      <x:c r="F164" s="64" t="n">
        <x:v>0.2898901040854047</x:v>
      </x:c>
      <x:c r="G164" s="56" t="n">
        <x:v>790.5329375967488</x:v>
      </x:c>
      <x:c r="H164" s="64" t="n">
        <x:v>0.2090889435243717</x:v>
      </x:c>
      <x:c r="I164" s="56" t="n">
        <x:v>31</x:v>
      </x:c>
      <x:c r="J164" s="56" t="n">
        <x:v>10</x:v>
      </x:c>
      <x:c r="K164" s="56" t="n">
        <x:v>21</x:v>
      </x:c>
      <x:c r="L164" s="56" t="n">
        <x:v>1988.3077085608668</x:v>
      </x:c>
      <x:c r="M164" s="56" t="n">
        <x:v>3334.2378010416855</x:v>
      </x:c>
      <x:c r="N164" s="56" t="n">
        <x:v>822.9389868199701</x:v>
      </x:c>
      <x:c r="O164" s="56" t="n">
        <x:v>469.77517059079497</x:v>
      </x:c>
      <x:c r="P164" s="56" t="n">
        <x:v>0</x:v>
      </x:c>
      <x:c r="Q164" s="56" t="n">
        <x:v>2048.6076828407013</x:v>
      </x:c>
      <x:c r="R164" s="68" t="n">
        <x:f>IFERROR(K164/I164,0)</x:f>
        <x:v>0.6774193548387096</x:v>
      </x:c>
      <x:c r="S164" s="60" t="n">
        <x:f>K164*L164</x:f>
        <x:v>41754.4618797782</x:v>
      </x:c>
      <x:c r="T164" s="60" t="n">
        <x:f>S164*H164</x:f>
        <x:v>8730.396321871476</x:v>
      </x:c>
      <x:c r="U164" s="60" t="n">
        <x:f>K164*G164</x:f>
        <x:v>16601.191689531723</x:v>
      </x:c>
      <x:c r="V164" s="60" t="n">
        <x:f>S164-T164-M164-N164-O164-P164-Q164-U164</x:f>
        <x:v>9747.31422708185</x:v>
      </x:c>
      <x:c r="W164" s="68" t="n">
        <x:f>IFERROR(V164/S164,0)</x:f>
        <x:v>0.23344365579771728</x:v>
      </x:c>
      <x:c r="X164" s="72" t="n">
        <x:f>IFERROR(S164/Q164,0)</x:f>
        <x:v>20.381873127547482</x:v>
      </x:c>
      <x:c r="Y164" s="30" t="str">
        <x:v>Моделируемые данные Unitmetra</x:v>
      </x:c>
    </x:row>
    <x:row r="165">
      <x:c r="A165" s="48" t="str">
        <x:v>2025-10</x:v>
      </x:c>
      <x:c r="B165" s="48" t="str">
        <x:v>UM-028</x:v>
      </x:c>
      <x:c r="C165" s="48" t="str">
        <x:v>Классические прямые</x:v>
      </x:c>
      <x:c r="D165" s="48" t="str">
        <x:v>Брюки</x:v>
      </x:c>
      <x:c r="E165" s="56" t="n">
        <x:v>2800</x:v>
      </x:c>
      <x:c r="F165" s="64" t="n">
        <x:v>0.29989010408540473</x:v>
      </x:c>
      <x:c r="G165" s="56" t="n">
        <x:v>790.5329375967488</x:v>
      </x:c>
      <x:c r="H165" s="64" t="n">
        <x:v>0.2090889435243717</x:v>
      </x:c>
      <x:c r="I165" s="56" t="n">
        <x:v>39</x:v>
      </x:c>
      <x:c r="J165" s="56" t="n">
        <x:v>15</x:v>
      </x:c>
      <x:c r="K165" s="56" t="n">
        <x:v>24</x:v>
      </x:c>
      <x:c r="L165" s="56" t="n">
        <x:v>1960.3077085608668</x:v>
      </x:c>
      <x:c r="M165" s="56" t="n">
        <x:v>4092.7323366426835</x:v>
      </x:c>
      <x:c r="N165" s="56" t="n">
        <x:v>885.7859064978859</x:v>
      </x:c>
      <x:c r="O165" s="56" t="n">
        <x:v>695.2362823747964</x:v>
      </x:c>
      <x:c r="P165" s="56" t="n">
        <x:v>18.893813677309296</x:v>
      </x:c>
      <x:c r="Q165" s="56" t="n">
        <x:v>2088.1859150809964</x:v>
      </x:c>
      <x:c r="R165" s="68" t="n">
        <x:f>IFERROR(K165/I165,0)</x:f>
        <x:v>0.6153846153846154</x:v>
      </x:c>
      <x:c r="S165" s="60" t="n">
        <x:f>K165*L165</x:f>
        <x:v>47047.385005460805</x:v>
      </x:c>
      <x:c r="T165" s="60" t="n">
        <x:f>S165*H165</x:f>
        <x:v>9837.088026376166</x:v>
      </x:c>
      <x:c r="U165" s="60" t="n">
        <x:f>K165*G165</x:f>
        <x:v>18972.790502321972</x:v>
      </x:c>
      <x:c r="V165" s="60" t="n">
        <x:f>S165-T165-M165-N165-O165-P165-Q165-U165</x:f>
        <x:v>10456.672222488989</x:v>
      </x:c>
      <x:c r="W165" s="68" t="n">
        <x:f>IFERROR(V165/S165,0)</x:f>
        <x:v>0.222258308751385</x:v>
      </x:c>
      <x:c r="X165" s="72" t="n">
        <x:f>IFERROR(S165/Q165,0)</x:f>
        <x:v>22.530266422008662</x:v>
      </x:c>
      <x:c r="Y165" s="30" t="str">
        <x:v>Моделируемые данные Unitmetra</x:v>
      </x:c>
    </x:row>
    <x:row r="166">
      <x:c r="A166" s="48" t="str">
        <x:v>2025-11</x:v>
      </x:c>
      <x:c r="B166" s="48" t="str">
        <x:v>UM-028</x:v>
      </x:c>
      <x:c r="C166" s="48" t="str">
        <x:v>Классические прямые</x:v>
      </x:c>
      <x:c r="D166" s="48" t="str">
        <x:v>Брюки</x:v>
      </x:c>
      <x:c r="E166" s="56" t="n">
        <x:v>2800</x:v>
      </x:c>
      <x:c r="F166" s="64" t="n">
        <x:v>0.32989010408540476</x:v>
      </x:c>
      <x:c r="G166" s="56" t="n">
        <x:v>790.5329375967488</x:v>
      </x:c>
      <x:c r="H166" s="64" t="n">
        <x:v>0.2090889435243717</x:v>
      </x:c>
      <x:c r="I166" s="56" t="n">
        <x:v>37</x:v>
      </x:c>
      <x:c r="J166" s="56" t="n">
        <x:v>12</x:v>
      </x:c>
      <x:c r="K166" s="56" t="n">
        <x:v>25</x:v>
      </x:c>
      <x:c r="L166" s="56" t="n">
        <x:v>1876.3077085608668</x:v>
      </x:c>
      <x:c r="M166" s="56" t="n">
        <x:v>3612.6246950610944</x:v>
      </x:c>
      <x:c r="N166" s="56" t="n">
        <x:v>927.4462715489096</x:v>
      </x:c>
      <x:c r="O166" s="56" t="n">
        <x:v>635.7377778496617</x:v>
      </x:c>
      <x:c r="P166" s="56" t="n">
        <x:v>0</x:v>
      </x:c>
      <x:c r="Q166" s="56" t="n">
        <x:v>2387.980668266233</x:v>
      </x:c>
      <x:c r="R166" s="68" t="n">
        <x:f>IFERROR(K166/I166,0)</x:f>
        <x:v>0.6756756756756757</x:v>
      </x:c>
      <x:c r="S166" s="60" t="n">
        <x:f>K166*L166</x:f>
        <x:v>46907.69271402167</x:v>
      </x:c>
      <x:c r="T166" s="60" t="n">
        <x:f>S166*H166</x:f>
        <x:v>9807.87991274066</x:v>
      </x:c>
      <x:c r="U166" s="60" t="n">
        <x:f>K166*G166</x:f>
        <x:v>19763.32343991872</x:v>
      </x:c>
      <x:c r="V166" s="60" t="n">
        <x:f>S166-T166-M166-N166-O166-P166-Q166-U166</x:f>
        <x:v>9772.699948636393</x:v>
      </x:c>
      <x:c r="W166" s="68" t="n">
        <x:f>IFERROR(V166/S166,0)</x:f>
        <x:v>0.20833896069492952</x:v>
      </x:c>
      <x:c r="X166" s="72" t="n">
        <x:f>IFERROR(S166/Q166,0)</x:f>
        <x:v>19.643246420448826</x:v>
      </x:c>
      <x:c r="Y166" s="30" t="str">
        <x:v>Моделируемые данные Unitmetra</x:v>
      </x:c>
    </x:row>
    <x:row r="167">
      <x:c r="A167" s="48" t="str">
        <x:v>2025-12</x:v>
      </x:c>
      <x:c r="B167" s="48" t="str">
        <x:v>UM-028</x:v>
      </x:c>
      <x:c r="C167" s="48" t="str">
        <x:v>Классические прямые</x:v>
      </x:c>
      <x:c r="D167" s="48" t="str">
        <x:v>Брюки</x:v>
      </x:c>
      <x:c r="E167" s="56" t="n">
        <x:v>2800</x:v>
      </x:c>
      <x:c r="F167" s="64" t="n">
        <x:v>0.34989010408540466</x:v>
      </x:c>
      <x:c r="G167" s="56" t="n">
        <x:v>790.5329375967488</x:v>
      </x:c>
      <x:c r="H167" s="64" t="n">
        <x:v>0.2090889435243717</x:v>
      </x:c>
      <x:c r="I167" s="56" t="n">
        <x:v>47</x:v>
      </x:c>
      <x:c r="J167" s="56" t="n">
        <x:v>16</x:v>
      </x:c>
      <x:c r="K167" s="56" t="n">
        <x:v>31</x:v>
      </x:c>
      <x:c r="L167" s="56" t="n">
        <x:v>1820.307708560867</x:v>
      </x:c>
      <x:c r="M167" s="56" t="n">
        <x:v>4684.6076530562705</x:v>
      </x:c>
      <x:c r="N167" s="56" t="n">
        <x:v>1133.7556182919798</x:v>
      </x:c>
      <x:c r="O167" s="56" t="n">
        <x:v>428.4121829361196</x:v>
      </x:c>
      <x:c r="P167" s="56" t="n">
        <x:v>0</x:v>
      </x:c>
      <x:c r="Q167" s="56" t="n">
        <x:v>2532.425814258127</x:v>
      </x:c>
      <x:c r="R167" s="68" t="n">
        <x:f>IFERROR(K167/I167,0)</x:f>
        <x:v>0.6595744680851063</x:v>
      </x:c>
      <x:c r="S167" s="60" t="n">
        <x:f>K167*L167</x:f>
        <x:v>56429.53896538688</x:v>
      </x:c>
      <x:c r="T167" s="60" t="n">
        <x:f>S167*H167</x:f>
        <x:v>11798.79268584011</x:v>
      </x:c>
      <x:c r="U167" s="60" t="n">
        <x:f>K167*G167</x:f>
        <x:v>24506.52106549921</x:v>
      </x:c>
      <x:c r="V167" s="60" t="n">
        <x:f>S167-T167-M167-N167-O167-P167-Q167-U167</x:f>
        <x:v>11345.023945505061</x:v>
      </x:c>
      <x:c r="W167" s="68" t="n">
        <x:f>IFERROR(V167/S167,0)</x:f>
        <x:v>0.2010476100551512</x:v>
      </x:c>
      <x:c r="X167" s="72" t="n">
        <x:f>IFERROR(S167/Q167,0)</x:f>
        <x:v>22.28280040729165</x:v>
      </x:c>
      <x:c r="Y167" s="30" t="str">
        <x:v>Моделируемые данные Unitmetra</x:v>
      </x:c>
    </x:row>
    <x:row r="168">
      <x:c r="A168" s="48" t="str">
        <x:v>2026-01</x:v>
      </x:c>
      <x:c r="B168" s="48" t="str">
        <x:v>UM-028</x:v>
      </x:c>
      <x:c r="C168" s="48" t="str">
        <x:v>Классические прямые</x:v>
      </x:c>
      <x:c r="D168" s="48" t="str">
        <x:v>Брюки</x:v>
      </x:c>
      <x:c r="E168" s="56" t="n">
        <x:v>2800</x:v>
      </x:c>
      <x:c r="F168" s="64" t="n">
        <x:v>0.31989010408540475</x:v>
      </x:c>
      <x:c r="G168" s="56" t="n">
        <x:v>790.5329375967488</x:v>
      </x:c>
      <x:c r="H168" s="64" t="n">
        <x:v>0.2090889435243717</x:v>
      </x:c>
      <x:c r="I168" s="56" t="n">
        <x:v>22</x:v>
      </x:c>
      <x:c r="J168" s="56" t="n">
        <x:v>6</x:v>
      </x:c>
      <x:c r="K168" s="56" t="n">
        <x:v>16</x:v>
      </x:c>
      <x:c r="L168" s="56" t="n">
        <x:v>1904.3077085608668</x:v>
      </x:c>
      <x:c r="M168" s="56" t="n">
        <x:v>2194.2857907839802</x:v>
      </x:c>
      <x:c r="N168" s="56" t="n">
        <x:v>414.2976962449796</x:v>
      </x:c>
      <x:c r="O168" s="56" t="n">
        <x:v>381.32467785818983</x:v>
      </x:c>
      <x:c r="P168" s="56" t="n">
        <x:v>5.22854065466269</x:v>
      </x:c>
      <x:c r="Q168" s="56" t="n">
        <x:v>1979.050122111154</x:v>
      </x:c>
      <x:c r="R168" s="68" t="n">
        <x:f>IFERROR(K168/I168,0)</x:f>
        <x:v>0.7272727272727273</x:v>
      </x:c>
      <x:c r="S168" s="60" t="n">
        <x:f>K168*L168</x:f>
        <x:v>30468.92333697387</x:v>
      </x:c>
      <x:c r="T168" s="60" t="n">
        <x:f>S168*H168</x:f>
        <x:v>6370.714990852941</x:v>
      </x:c>
      <x:c r="U168" s="60" t="n">
        <x:f>K168*G168</x:f>
        <x:v>12648.52700154798</x:v>
      </x:c>
      <x:c r="V168" s="60" t="n">
        <x:f>S168-T168-M168-N168-O168-P168-Q168-U168</x:f>
        <x:v>6475.494516919982</x:v>
      </x:c>
      <x:c r="W168" s="68" t="n">
        <x:f>IFERROR(V168/S168,0)</x:f>
        <x:v>0.21252784173906156</x:v>
      </x:c>
      <x:c r="X168" s="72" t="n">
        <x:f>IFERROR(S168/Q168,0)</x:f>
        <x:v>15.39573101083014</x:v>
      </x:c>
      <x:c r="Y168" s="30" t="str">
        <x:v>Моделируемые данные Unitmetra</x:v>
      </x:c>
    </x:row>
    <x:row r="169">
      <x:c r="A169" s="48" t="str">
        <x:v>2026-02</x:v>
      </x:c>
      <x:c r="B169" s="48" t="str">
        <x:v>UM-028</x:v>
      </x:c>
      <x:c r="C169" s="48" t="str">
        <x:v>Классические прямые</x:v>
      </x:c>
      <x:c r="D169" s="48" t="str">
        <x:v>Брюки</x:v>
      </x:c>
      <x:c r="E169" s="56" t="n">
        <x:v>2800</x:v>
      </x:c>
      <x:c r="F169" s="64" t="n">
        <x:v>0.29989010408540473</x:v>
      </x:c>
      <x:c r="G169" s="56" t="n">
        <x:v>790.5329375967488</x:v>
      </x:c>
      <x:c r="H169" s="64" t="n">
        <x:v>0.2090889435243717</x:v>
      </x:c>
      <x:c r="I169" s="56" t="n">
        <x:v>29</x:v>
      </x:c>
      <x:c r="J169" s="56" t="n">
        <x:v>9</x:v>
      </x:c>
      <x:c r="K169" s="56" t="n">
        <x:v>20</x:v>
      </x:c>
      <x:c r="L169" s="56" t="n">
        <x:v>1960.3077085608668</x:v>
      </x:c>
      <x:c r="M169" s="56" t="n">
        <x:v>3170.8210736478095</x:v>
      </x:c>
      <x:c r="N169" s="56" t="n">
        <x:v>503.6802537067695</x:v>
      </x:c>
      <x:c r="O169" s="56" t="n">
        <x:v>492.34752190335223</x:v>
      </x:c>
      <x:c r="P169" s="56" t="n">
        <x:v>74.72026517241876</x:v>
      </x:c>
      <x:c r="Q169" s="56" t="n">
        <x:v>2039.6920633522816</x:v>
      </x:c>
      <x:c r="R169" s="68" t="n">
        <x:f>IFERROR(K169/I169,0)</x:f>
        <x:v>0.6896551724137931</x:v>
      </x:c>
      <x:c r="S169" s="60" t="n">
        <x:f>K169*L169</x:f>
        <x:v>39206.154171217335</x:v>
      </x:c>
      <x:c r="T169" s="60" t="n">
        <x:f>S169*H169</x:f>
        <x:v>8197.573355313472</x:v>
      </x:c>
      <x:c r="U169" s="60" t="n">
        <x:f>K169*G169</x:f>
        <x:v>15810.658751934974</x:v>
      </x:c>
      <x:c r="V169" s="60" t="n">
        <x:f>S169-T169-M169-N169-O169-P169-Q169-U169</x:f>
        <x:v>8916.660886186255</x:v>
      </x:c>
      <x:c r="W169" s="68" t="n">
        <x:f>IFERROR(V169/S169,0)</x:f>
        <x:v>0.22743013372967605</x:v>
      </x:c>
      <x:c r="X169" s="72" t="n">
        <x:f>IFERROR(S169/Q169,0)</x:f>
        <x:v>19.22160451356618</x:v>
      </x:c>
      <x:c r="Y169" s="30" t="str">
        <x:v>Моделируемые данные Unitmetra</x:v>
      </x:c>
    </x:row>
    <x:row r="170">
      <x:c r="A170" s="48" t="str">
        <x:v>2025-09</x:v>
      </x:c>
      <x:c r="B170" s="48" t="str">
        <x:v>UM-029</x:v>
      </x:c>
      <x:c r="C170" s="48" t="str">
        <x:v>Карго</x:v>
      </x:c>
      <x:c r="D170" s="48" t="str">
        <x:v>Брюки</x:v>
      </x:c>
      <x:c r="E170" s="56" t="n">
        <x:v>3600</x:v>
      </x:c>
      <x:c r="F170" s="64" t="n">
        <x:v>0.2799299265339943</x:v>
      </x:c>
      <x:c r="G170" s="56" t="n">
        <x:v>1208.8260693958912</x:v>
      </x:c>
      <x:c r="H170" s="64" t="n">
        <x:v>0.20720916933844122</x:v>
      </x:c>
      <x:c r="I170" s="56" t="n">
        <x:v>30</x:v>
      </x:c>
      <x:c r="J170" s="56" t="n">
        <x:v>16</x:v>
      </x:c>
      <x:c r="K170" s="56" t="n">
        <x:v>14</x:v>
      </x:c>
      <x:c r="L170" s="56" t="n">
        <x:v>2592.2522644776204</x:v>
      </x:c>
      <x:c r="M170" s="56" t="n">
        <x:v>3311.571662767674</x:v>
      </x:c>
      <x:c r="N170" s="56" t="n">
        <x:v>990.7259801573717</x:v>
      </x:c>
      <x:c r="O170" s="56" t="n">
        <x:v>594.3622513364143</x:v>
      </x:c>
      <x:c r="P170" s="56" t="n">
        <x:v>0</x:v>
      </x:c>
      <x:c r="Q170" s="56" t="n">
        <x:v>11830.672296455989</x:v>
      </x:c>
      <x:c r="R170" s="68" t="n">
        <x:f>IFERROR(K170/I170,0)</x:f>
        <x:v>0.4666666666666667</x:v>
      </x:c>
      <x:c r="S170" s="60" t="n">
        <x:f>K170*L170</x:f>
        <x:v>36291.53170268668</x:v>
      </x:c>
      <x:c r="T170" s="60" t="n">
        <x:f>S170*H170</x:f>
        <x:v>7519.938138133413</x:v>
      </x:c>
      <x:c r="U170" s="60" t="n">
        <x:f>K170*G170</x:f>
        <x:v>16923.564971542477</x:v>
      </x:c>
      <x:c r="V170" s="60" t="n">
        <x:f>S170-T170-M170-N170-O170-P170-Q170-U170</x:f>
        <x:v>-4879.303597706654</x:v>
      </x:c>
      <x:c r="W170" s="68" t="n">
        <x:f>IFERROR(V170/S170,0)</x:f>
        <x:v>-0.13444744183518262</x:v>
      </x:c>
      <x:c r="X170" s="72" t="n">
        <x:f>IFERROR(S170/Q170,0)</x:f>
        <x:v>3.067579829217163</x:v>
      </x:c>
      <x:c r="Y170" s="30" t="str">
        <x:v>Моделируемые данные Unitmetra</x:v>
      </x:c>
    </x:row>
    <x:row r="171">
      <x:c r="A171" s="48" t="str">
        <x:v>2025-10</x:v>
      </x:c>
      <x:c r="B171" s="48" t="str">
        <x:v>UM-029</x:v>
      </x:c>
      <x:c r="C171" s="48" t="str">
        <x:v>Карго</x:v>
      </x:c>
      <x:c r="D171" s="48" t="str">
        <x:v>Брюки</x:v>
      </x:c>
      <x:c r="E171" s="56" t="n">
        <x:v>3600</x:v>
      </x:c>
      <x:c r="F171" s="64" t="n">
        <x:v>0.2899299265339943</x:v>
      </x:c>
      <x:c r="G171" s="56" t="n">
        <x:v>1208.8260693958912</x:v>
      </x:c>
      <x:c r="H171" s="64" t="n">
        <x:v>0.20720916933844122</x:v>
      </x:c>
      <x:c r="I171" s="56" t="n">
        <x:v>27</x:v>
      </x:c>
      <x:c r="J171" s="56" t="n">
        <x:v>13</x:v>
      </x:c>
      <x:c r="K171" s="56" t="n">
        <x:v>14</x:v>
      </x:c>
      <x:c r="L171" s="56" t="n">
        <x:v>2556.2522644776204</x:v>
      </x:c>
      <x:c r="M171" s="56" t="n">
        <x:v>2469.8438066485314</x:v>
      </x:c>
      <x:c r="N171" s="56" t="n">
        <x:v>812.6689038254364</x:v>
      </x:c>
      <x:c r="O171" s="56" t="n">
        <x:v>734.6161140140848</x:v>
      </x:c>
      <x:c r="P171" s="56" t="n">
        <x:v>0</x:v>
      </x:c>
      <x:c r="Q171" s="56" t="n">
        <x:v>11567.538120814228</x:v>
      </x:c>
      <x:c r="R171" s="68" t="n">
        <x:f>IFERROR(K171/I171,0)</x:f>
        <x:v>0.5185185185185185</x:v>
      </x:c>
      <x:c r="S171" s="60" t="n">
        <x:f>K171*L171</x:f>
        <x:v>35787.53170268668</x:v>
      </x:c>
      <x:c r="T171" s="60" t="n">
        <x:f>S171*H171</x:f>
        <x:v>7415.504716786839</x:v>
      </x:c>
      <x:c r="U171" s="60" t="n">
        <x:f>K171*G171</x:f>
        <x:v>16923.564971542477</x:v>
      </x:c>
      <x:c r="V171" s="60" t="n">
        <x:f>S171-T171-M171-N171-O171-P171-Q171-U171</x:f>
        <x:v>-4136.204930944918</x:v>
      </x:c>
      <x:c r="W171" s="68" t="n">
        <x:f>IFERROR(V171/S171,0)</x:f>
        <x:v>-0.11557670323025937</x:v>
      </x:c>
      <x:c r="X171" s="72" t="n">
        <x:f>IFERROR(S171/Q171,0)</x:f>
        <x:v>3.09378982190617</x:v>
      </x:c>
      <x:c r="Y171" s="30" t="str">
        <x:v>Моделируемые данные Unitmetra</x:v>
      </x:c>
    </x:row>
    <x:row r="172">
      <x:c r="A172" s="48" t="str">
        <x:v>2025-11</x:v>
      </x:c>
      <x:c r="B172" s="48" t="str">
        <x:v>UM-029</x:v>
      </x:c>
      <x:c r="C172" s="48" t="str">
        <x:v>Карго</x:v>
      </x:c>
      <x:c r="D172" s="48" t="str">
        <x:v>Брюки</x:v>
      </x:c>
      <x:c r="E172" s="56" t="n">
        <x:v>3600</x:v>
      </x:c>
      <x:c r="F172" s="64" t="n">
        <x:v>0.3199299265339943</x:v>
      </x:c>
      <x:c r="G172" s="56" t="n">
        <x:v>1208.8260693958912</x:v>
      </x:c>
      <x:c r="H172" s="64" t="n">
        <x:v>0.20720916933844122</x:v>
      </x:c>
      <x:c r="I172" s="56" t="n">
        <x:v>40</x:v>
      </x:c>
      <x:c r="J172" s="56" t="n">
        <x:v>21</x:v>
      </x:c>
      <x:c r="K172" s="56" t="n">
        <x:v>19</x:v>
      </x:c>
      <x:c r="L172" s="56" t="n">
        <x:v>2448.2522644776204</x:v>
      </x:c>
      <x:c r="M172" s="56" t="n">
        <x:v>4575.952869922569</x:v>
      </x:c>
      <x:c r="N172" s="56" t="n">
        <x:v>1742.7480788257083</x:v>
      </x:c>
      <x:c r="O172" s="56" t="n">
        <x:v>639.2219471519066</x:v>
      </x:c>
      <x:c r="P172" s="56" t="n">
        <x:v>0</x:v>
      </x:c>
      <x:c r="Q172" s="56" t="n">
        <x:v>15475.770870170069</x:v>
      </x:c>
      <x:c r="R172" s="68" t="n">
        <x:f>IFERROR(K172/I172,0)</x:f>
        <x:v>0.475</x:v>
      </x:c>
      <x:c r="S172" s="60" t="n">
        <x:f>K172*L172</x:f>
        <x:v>46516.79302507479</x:v>
      </x:c>
      <x:c r="T172" s="60" t="n">
        <x:f>S172*H172</x:f>
        <x:v>9638.706043013943</x:v>
      </x:c>
      <x:c r="U172" s="60" t="n">
        <x:f>K172*G172</x:f>
        <x:v>22967.69531852193</x:v>
      </x:c>
      <x:c r="V172" s="60" t="n">
        <x:f>S172-T172-M172-N172-O172-P172-Q172-U172</x:f>
        <x:v>-8523.302102531336</x:v>
      </x:c>
      <x:c r="W172" s="68" t="n">
        <x:f>IFERROR(V172/S172,0)</x:f>
        <x:v>-0.18323064743386042</x:v>
      </x:c>
      <x:c r="X172" s="72" t="n">
        <x:f>IFERROR(S172/Q172,0)</x:f>
        <x:v>3.005781968169163</x:v>
      </x:c>
      <x:c r="Y172" s="30" t="str">
        <x:v>Моделируемые данные Unitmetra</x:v>
      </x:c>
    </x:row>
    <x:row r="173">
      <x:c r="A173" s="48" t="str">
        <x:v>2025-12</x:v>
      </x:c>
      <x:c r="B173" s="48" t="str">
        <x:v>UM-029</x:v>
      </x:c>
      <x:c r="C173" s="48" t="str">
        <x:v>Карго</x:v>
      </x:c>
      <x:c r="D173" s="48" t="str">
        <x:v>Брюки</x:v>
      </x:c>
      <x:c r="E173" s="56" t="n">
        <x:v>3600</x:v>
      </x:c>
      <x:c r="F173" s="64" t="n">
        <x:v>0.33992992653399423</x:v>
      </x:c>
      <x:c r="G173" s="56" t="n">
        <x:v>1208.8260693958912</x:v>
      </x:c>
      <x:c r="H173" s="64" t="n">
        <x:v>0.20720916933844122</x:v>
      </x:c>
      <x:c r="I173" s="56" t="n">
        <x:v>43</x:v>
      </x:c>
      <x:c r="J173" s="56" t="n">
        <x:v>26</x:v>
      </x:c>
      <x:c r="K173" s="56" t="n">
        <x:v>17</x:v>
      </x:c>
      <x:c r="L173" s="56" t="n">
        <x:v>2376.252264477621</x:v>
      </x:c>
      <x:c r="M173" s="56" t="n">
        <x:v>5134.280318359898</x:v>
      </x:c>
      <x:c r="N173" s="56" t="n">
        <x:v>2136.7633123968417</x:v>
      </x:c>
      <x:c r="O173" s="56" t="n">
        <x:v>341.07615010745934</x:v>
      </x:c>
      <x:c r="P173" s="56" t="n">
        <x:v>0</x:v>
      </x:c>
      <x:c r="Q173" s="56" t="n">
        <x:v>13267.030615848342</x:v>
      </x:c>
      <x:c r="R173" s="68" t="n">
        <x:f>IFERROR(K173/I173,0)</x:f>
        <x:v>0.3953488372093023</x:v>
      </x:c>
      <x:c r="S173" s="60" t="n">
        <x:f>K173*L173</x:f>
        <x:v>40396.28849611955</x:v>
      </x:c>
      <x:c r="T173" s="60" t="n">
        <x:f>S173*H173</x:f>
        <x:v>8370.481383636961</x:v>
      </x:c>
      <x:c r="U173" s="60" t="n">
        <x:f>K173*G173</x:f>
        <x:v>20550.04317973015</x:v>
      </x:c>
      <x:c r="V173" s="60" t="n">
        <x:f>S173-T173-M173-N173-O173-P173-Q173-U173</x:f>
        <x:v>-9403.3864639601</x:v>
      </x:c>
      <x:c r="W173" s="68" t="n">
        <x:f>IFERROR(V173/S173,0)</x:f>
        <x:v>-0.23277847579644315</x:v>
      </x:c>
      <x:c r="X173" s="72" t="n">
        <x:f>IFERROR(S173/Q173,0)</x:f>
        <x:v>3.0448628382498435</x:v>
      </x:c>
      <x:c r="Y173" s="30" t="str">
        <x:v>Моделируемые данные Unitmetra</x:v>
      </x:c>
    </x:row>
    <x:row r="174">
      <x:c r="A174" s="48" t="str">
        <x:v>2026-01</x:v>
      </x:c>
      <x:c r="B174" s="48" t="str">
        <x:v>UM-029</x:v>
      </x:c>
      <x:c r="C174" s="48" t="str">
        <x:v>Карго</x:v>
      </x:c>
      <x:c r="D174" s="48" t="str">
        <x:v>Брюки</x:v>
      </x:c>
      <x:c r="E174" s="56" t="n">
        <x:v>3600</x:v>
      </x:c>
      <x:c r="F174" s="64" t="n">
        <x:v>0.3099299265339943</x:v>
      </x:c>
      <x:c r="G174" s="56" t="n">
        <x:v>1208.8260693958912</x:v>
      </x:c>
      <x:c r="H174" s="64" t="n">
        <x:v>0.20720916933844122</x:v>
      </x:c>
      <x:c r="I174" s="56" t="n">
        <x:v>27</x:v>
      </x:c>
      <x:c r="J174" s="56" t="n">
        <x:v>15</x:v>
      </x:c>
      <x:c r="K174" s="56" t="n">
        <x:v>12</x:v>
      </x:c>
      <x:c r="L174" s="56" t="n">
        <x:v>2484.2522644776204</x:v>
      </x:c>
      <x:c r="M174" s="56" t="n">
        <x:v>2847.6039023096105</x:v>
      </x:c>
      <x:c r="N174" s="56" t="n">
        <x:v>1008.745360184845</x:v>
      </x:c>
      <x:c r="O174" s="56" t="n">
        <x:v>368.5443637706875</x:v>
      </x:c>
      <x:c r="P174" s="56" t="n">
        <x:v>177.25172637488802</x:v>
      </x:c>
      <x:c r="Q174" s="56" t="n">
        <x:v>9986.726318793344</x:v>
      </x:c>
      <x:c r="R174" s="68" t="n">
        <x:f>IFERROR(K174/I174,0)</x:f>
        <x:v>0.4444444444444444</x:v>
      </x:c>
      <x:c r="S174" s="60" t="n">
        <x:f>K174*L174</x:f>
        <x:v>29811.027173731447</x:v>
      </x:c>
      <x:c r="T174" s="60" t="n">
        <x:f>S174*H174</x:f>
        <x:v>6177.118177794592</x:v>
      </x:c>
      <x:c r="U174" s="60" t="n">
        <x:f>K174*G174</x:f>
        <x:v>14505.912832750695</x:v>
      </x:c>
      <x:c r="V174" s="60" t="n">
        <x:f>S174-T174-M174-N174-O174-P174-Q174-U174</x:f>
        <x:v>-5260.875508247218</x:v>
      </x:c>
      <x:c r="W174" s="68" t="n">
        <x:f>IFERROR(V174/S174,0)</x:f>
        <x:v>-0.17647414420134233</x:v>
      </x:c>
      <x:c r="X174" s="72" t="n">
        <x:f>IFERROR(S174/Q174,0)</x:f>
        <x:v>2.985064997488926</x:v>
      </x:c>
      <x:c r="Y174" s="30" t="str">
        <x:v>Моделируемые данные Unitmetra</x:v>
      </x:c>
    </x:row>
    <x:row r="175">
      <x:c r="A175" s="48" t="str">
        <x:v>2026-02</x:v>
      </x:c>
      <x:c r="B175" s="48" t="str">
        <x:v>UM-029</x:v>
      </x:c>
      <x:c r="C175" s="48" t="str">
        <x:v>Карго</x:v>
      </x:c>
      <x:c r="D175" s="48" t="str">
        <x:v>Брюки</x:v>
      </x:c>
      <x:c r="E175" s="56" t="n">
        <x:v>3600</x:v>
      </x:c>
      <x:c r="F175" s="64" t="n">
        <x:v>0.2899299265339943</x:v>
      </x:c>
      <x:c r="G175" s="56" t="n">
        <x:v>1208.8260693958912</x:v>
      </x:c>
      <x:c r="H175" s="64" t="n">
        <x:v>0.20720916933844122</x:v>
      </x:c>
      <x:c r="I175" s="56" t="n">
        <x:v>24</x:v>
      </x:c>
      <x:c r="J175" s="56" t="n">
        <x:v>12</x:v>
      </x:c>
      <x:c r="K175" s="56" t="n">
        <x:v>12</x:v>
      </x:c>
      <x:c r="L175" s="56" t="n">
        <x:v>2556.2522644776204</x:v>
      </x:c>
      <x:c r="M175" s="56" t="n">
        <x:v>2648.9674560214917</x:v>
      </x:c>
      <x:c r="N175" s="56" t="n">
        <x:v>859.4332052940694</x:v>
      </x:c>
      <x:c r="O175" s="56" t="n">
        <x:v>312.8102532724004</x:v>
      </x:c>
      <x:c r="P175" s="56" t="n">
        <x:v>0</x:v>
      </x:c>
      <x:c r="Q175" s="56" t="n">
        <x:v>9761.886268102682</x:v>
      </x:c>
      <x:c r="R175" s="68" t="n">
        <x:f>IFERROR(K175/I175,0)</x:f>
        <x:v>0.5</x:v>
      </x:c>
      <x:c r="S175" s="60" t="n">
        <x:f>K175*L175</x:f>
        <x:v>30675.027173731447</x:v>
      </x:c>
      <x:c r="T175" s="60" t="n">
        <x:f>S175*H175</x:f>
        <x:v>6356.1469001030055</x:v>
      </x:c>
      <x:c r="U175" s="60" t="n">
        <x:f>K175*G175</x:f>
        <x:v>14505.912832750695</x:v>
      </x:c>
      <x:c r="V175" s="60" t="n">
        <x:f>S175-T175-M175-N175-O175-P175-Q175-U175</x:f>
        <x:v>-3770.129741812898</x:v>
      </x:c>
      <x:c r="W175" s="68" t="n">
        <x:f>IFERROR(V175/S175,0)</x:f>
        <x:v>-0.12290550617804986</x:v>
      </x:c>
      <x:c r="X175" s="72" t="n">
        <x:f>IFERROR(S175/Q175,0)</x:f>
        <x:v>3.1423258099168</x:v>
      </x:c>
      <x:c r="Y175" s="30" t="str">
        <x:v>Моделируемые данные Unitmetra</x:v>
      </x:c>
    </x:row>
    <x:row r="176">
      <x:c r="A176" s="48" t="str">
        <x:v>2025-09</x:v>
      </x:c>
      <x:c r="B176" s="48" t="str">
        <x:v>UM-030</x:v>
      </x:c>
      <x:c r="C176" s="48" t="str">
        <x:v>Брюки со стрелками</x:v>
      </x:c>
      <x:c r="D176" s="48" t="str">
        <x:v>Брюки</x:v>
      </x:c>
      <x:c r="E176" s="56" t="n">
        <x:v>2500</x:v>
      </x:c>
      <x:c r="F176" s="64" t="n">
        <x:v>0.14222980603331237</x:v>
      </x:c>
      <x:c r="G176" s="56" t="n">
        <x:v>743.8968089996566</x:v>
      </x:c>
      <x:c r="H176" s="64" t="n">
        <x:v>0.20371805357645</x:v>
      </x:c>
      <x:c r="I176" s="56" t="n">
        <x:v>24</x:v>
      </x:c>
      <x:c r="J176" s="56" t="n">
        <x:v>9</x:v>
      </x:c>
      <x:c r="K176" s="56" t="n">
        <x:v>15</x:v>
      </x:c>
      <x:c r="L176" s="56" t="n">
        <x:v>2144.425484916719</x:v>
      </x:c>
      <x:c r="M176" s="56" t="n">
        <x:v>1972.7375896297626</x:v>
      </x:c>
      <x:c r="N176" s="56" t="n">
        <x:v>652.066370448853</x:v>
      </x:c>
      <x:c r="O176" s="56" t="n">
        <x:v>382.1155539892915</x:v>
      </x:c>
      <x:c r="P176" s="56" t="n">
        <x:v>0</x:v>
      </x:c>
      <x:c r="Q176" s="56" t="n">
        <x:v>2375.871079608712</x:v>
      </x:c>
      <x:c r="R176" s="68" t="n">
        <x:f>IFERROR(K176/I176,0)</x:f>
        <x:v>0.625</x:v>
      </x:c>
      <x:c r="S176" s="60" t="n">
        <x:f>K176*L176</x:f>
        <x:v>32166.382273750787</x:v>
      </x:c>
      <x:c r="T176" s="60" t="n">
        <x:f>S176*H176</x:f>
        <x:v>6552.872787404534</x:v>
      </x:c>
      <x:c r="U176" s="60" t="n">
        <x:f>K176*G176</x:f>
        <x:v>11158.45213499485</x:v>
      </x:c>
      <x:c r="V176" s="60" t="n">
        <x:f>S176-T176-M176-N176-O176-P176-Q176-U176</x:f>
        <x:v>9072.266757674783</x:v>
      </x:c>
      <x:c r="W176" s="68" t="n">
        <x:f>IFERROR(V176/S176,0)</x:f>
        <x:v>0.2820418746648472</x:v>
      </x:c>
      <x:c r="X176" s="72" t="n">
        <x:f>IFERROR(S176/Q176,0)</x:f>
        <x:v>13.538774283598059</x:v>
      </x:c>
      <x:c r="Y176" s="30" t="str">
        <x:v>Моделируемые данные Unitmetra</x:v>
      </x:c>
    </x:row>
    <x:row r="177">
      <x:c r="A177" s="48" t="str">
        <x:v>2025-10</x:v>
      </x:c>
      <x:c r="B177" s="48" t="str">
        <x:v>UM-030</x:v>
      </x:c>
      <x:c r="C177" s="48" t="str">
        <x:v>Брюки со стрелками</x:v>
      </x:c>
      <x:c r="D177" s="48" t="str">
        <x:v>Брюки</x:v>
      </x:c>
      <x:c r="E177" s="56" t="n">
        <x:v>2500</x:v>
      </x:c>
      <x:c r="F177" s="64" t="n">
        <x:v>0.15222980603331238</x:v>
      </x:c>
      <x:c r="G177" s="56" t="n">
        <x:v>743.8968089996566</x:v>
      </x:c>
      <x:c r="H177" s="64" t="n">
        <x:v>0.20371805357645</x:v>
      </x:c>
      <x:c r="I177" s="56" t="n">
        <x:v>27</x:v>
      </x:c>
      <x:c r="J177" s="56" t="n">
        <x:v>9</x:v>
      </x:c>
      <x:c r="K177" s="56" t="n">
        <x:v>18</x:v>
      </x:c>
      <x:c r="L177" s="56" t="n">
        <x:v>2119.425484916719</x:v>
      </x:c>
      <x:c r="M177" s="56" t="n">
        <x:v>2237.5409137488496</x:v>
      </x:c>
      <x:c r="N177" s="56" t="n">
        <x:v>711.7431075572982</x:v>
      </x:c>
      <x:c r="O177" s="56" t="n">
        <x:v>170.61033443202874</x:v>
      </x:c>
      <x:c r="P177" s="56" t="n">
        <x:v>0</x:v>
      </x:c>
      <x:c r="Q177" s="56" t="n">
        <x:v>2975.2447762934094</x:v>
      </x:c>
      <x:c r="R177" s="68" t="n">
        <x:f>IFERROR(K177/I177,0)</x:f>
        <x:v>0.6666666666666666</x:v>
      </x:c>
      <x:c r="S177" s="60" t="n">
        <x:f>K177*L177</x:f>
        <x:v>38149.658728500945</x:v>
      </x:c>
      <x:c r="T177" s="60" t="n">
        <x:f>S177*H177</x:f>
        <x:v>7771.774220776039</x:v>
      </x:c>
      <x:c r="U177" s="60" t="n">
        <x:f>K177*G177</x:f>
        <x:v>13390.14256199382</x:v>
      </x:c>
      <x:c r="V177" s="60" t="n">
        <x:f>S177-T177-M177-N177-O177-P177-Q177-U177</x:f>
        <x:v>10892.602813699501</x:v>
      </x:c>
      <x:c r="W177" s="68" t="n">
        <x:f>IFERROR(V177/S177,0)</x:f>
        <x:v>0.2855229424519551</x:v>
      </x:c>
      <x:c r="X177" s="72" t="n">
        <x:f>IFERROR(S177/Q177,0)</x:f>
        <x:v>12.822359703805004</x:v>
      </x:c>
      <x:c r="Y177" s="30" t="str">
        <x:v>Моделируемые данные Unitmetra</x:v>
      </x:c>
    </x:row>
    <x:row r="178">
      <x:c r="A178" s="48" t="str">
        <x:v>2025-11</x:v>
      </x:c>
      <x:c r="B178" s="48" t="str">
        <x:v>UM-030</x:v>
      </x:c>
      <x:c r="C178" s="48" t="str">
        <x:v>Брюки со стрелками</x:v>
      </x:c>
      <x:c r="D178" s="48" t="str">
        <x:v>Брюки</x:v>
      </x:c>
      <x:c r="E178" s="56" t="n">
        <x:v>2500</x:v>
      </x:c>
      <x:c r="F178" s="64" t="n">
        <x:v>0.1822298060333123</x:v>
      </x:c>
      <x:c r="G178" s="56" t="n">
        <x:v>743.8968089996566</x:v>
      </x:c>
      <x:c r="H178" s="64" t="n">
        <x:v>0.20371805357645</x:v>
      </x:c>
      <x:c r="I178" s="56" t="n">
        <x:v>30</x:v>
      </x:c>
      <x:c r="J178" s="56" t="n">
        <x:v>11</x:v>
      </x:c>
      <x:c r="K178" s="56" t="n">
        <x:v>19</x:v>
      </x:c>
      <x:c r="L178" s="56" t="n">
        <x:v>2044.4254849167194</x:v>
      </x:c>
      <x:c r="M178" s="56" t="n">
        <x:v>2643.348543130991</x:v>
      </x:c>
      <x:c r="N178" s="56" t="n">
        <x:v>822.7954605982477</x:v>
      </x:c>
      <x:c r="O178" s="56" t="n">
        <x:v>583.4481878981635</x:v>
      </x:c>
      <x:c r="P178" s="56" t="n">
        <x:v>0</x:v>
      </x:c>
      <x:c r="Q178" s="56" t="n">
        <x:v>2712.6401556674914</x:v>
      </x:c>
      <x:c r="R178" s="68" t="n">
        <x:f>IFERROR(K178/I178,0)</x:f>
        <x:v>0.6333333333333333</x:v>
      </x:c>
      <x:c r="S178" s="60" t="n">
        <x:f>K178*L178</x:f>
        <x:v>38844.08421341767</x:v>
      </x:c>
      <x:c r="T178" s="60" t="n">
        <x:f>S178*H178</x:f>
        <x:v>7913.241228917157</x:v>
      </x:c>
      <x:c r="U178" s="60" t="n">
        <x:f>K178*G178</x:f>
        <x:v>14134.039370993476</x:v>
      </x:c>
      <x:c r="V178" s="60" t="n">
        <x:f>S178-T178-M178-N178-O178-P178-Q178-U178</x:f>
        <x:v>10034.571266212148</x:v>
      </x:c>
      <x:c r="W178" s="68" t="n">
        <x:f>IFERROR(V178/S178,0)</x:f>
        <x:v>0.2583294591547088</x:v>
      </x:c>
      <x:c r="X178" s="72" t="n">
        <x:f>IFERROR(S178/Q178,0)</x:f>
        <x:v>14.319659809009728</x:v>
      </x:c>
      <x:c r="Y178" s="30" t="str">
        <x:v>Моделируемые данные Unitmetra</x:v>
      </x:c>
    </x:row>
    <x:row r="179">
      <x:c r="A179" s="48" t="str">
        <x:v>2025-12</x:v>
      </x:c>
      <x:c r="B179" s="48" t="str">
        <x:v>UM-030</x:v>
      </x:c>
      <x:c r="C179" s="48" t="str">
        <x:v>Брюки со стрелками</x:v>
      </x:c>
      <x:c r="D179" s="48" t="str">
        <x:v>Брюки</x:v>
      </x:c>
      <x:c r="E179" s="56" t="n">
        <x:v>2500</x:v>
      </x:c>
      <x:c r="F179" s="64" t="n">
        <x:v>0.2022298060333122</x:v>
      </x:c>
      <x:c r="G179" s="56" t="n">
        <x:v>743.8968089996566</x:v>
      </x:c>
      <x:c r="H179" s="64" t="n">
        <x:v>0.20371805357645</x:v>
      </x:c>
      <x:c r="I179" s="56" t="n">
        <x:v>34</x:v>
      </x:c>
      <x:c r="J179" s="56" t="n">
        <x:v>15</x:v>
      </x:c>
      <x:c r="K179" s="56" t="n">
        <x:v>19</x:v>
      </x:c>
      <x:c r="L179" s="56" t="n">
        <x:v>1994.4254849167196</x:v>
      </x:c>
      <x:c r="M179" s="56" t="n">
        <x:v>3209.146159386591</x:v>
      </x:c>
      <x:c r="N179" s="56" t="n">
        <x:v>925.9871517036088</x:v>
      </x:c>
      <x:c r="O179" s="56" t="n">
        <x:v>402.3750200932999</x:v>
      </x:c>
      <x:c r="P179" s="56" t="n">
        <x:v>1.731756830834844</x:v>
      </x:c>
      <x:c r="Q179" s="56" t="n">
        <x:v>3103.6576694181304</x:v>
      </x:c>
      <x:c r="R179" s="68" t="n">
        <x:f>IFERROR(K179/I179,0)</x:f>
        <x:v>0.5588235294117647</x:v>
      </x:c>
      <x:c r="S179" s="60" t="n">
        <x:f>K179*L179</x:f>
        <x:v>37894.08421341767</x:v>
      </x:c>
      <x:c r="T179" s="60" t="n">
        <x:f>S179*H179</x:f>
        <x:v>7719.709078019529</x:v>
      </x:c>
      <x:c r="U179" s="60" t="n">
        <x:f>K179*G179</x:f>
        <x:v>14134.039370993476</x:v>
      </x:c>
      <x:c r="V179" s="60" t="n">
        <x:f>S179-T179-M179-N179-O179-P179-Q179-U179</x:f>
        <x:v>8397.438006972203</x:v>
      </x:c>
      <x:c r="W179" s="68" t="n">
        <x:f>IFERROR(V179/S179,0)</x:f>
        <x:v>0.22160287499437203</x:v>
      </x:c>
      <x:c r="X179" s="72" t="n">
        <x:f>IFERROR(S179/Q179,0)</x:f>
        <x:v>12.209492234535649</x:v>
      </x:c>
      <x:c r="Y179" s="30" t="str">
        <x:v>Моделируемые данные Unitmetra</x:v>
      </x:c>
    </x:row>
    <x:row r="180">
      <x:c r="A180" s="48" t="str">
        <x:v>2026-01</x:v>
      </x:c>
      <x:c r="B180" s="48" t="str">
        <x:v>UM-030</x:v>
      </x:c>
      <x:c r="C180" s="48" t="str">
        <x:v>Брюки со стрелками</x:v>
      </x:c>
      <x:c r="D180" s="48" t="str">
        <x:v>Брюки</x:v>
      </x:c>
      <x:c r="E180" s="56" t="n">
        <x:v>2500</x:v>
      </x:c>
      <x:c r="F180" s="64" t="n">
        <x:v>0.1722298060333124</x:v>
      </x:c>
      <x:c r="G180" s="56" t="n">
        <x:v>743.8968089996566</x:v>
      </x:c>
      <x:c r="H180" s="64" t="n">
        <x:v>0.20371805357645</x:v>
      </x:c>
      <x:c r="I180" s="56" t="n">
        <x:v>19</x:v>
      </x:c>
      <x:c r="J180" s="56" t="n">
        <x:v>7</x:v>
      </x:c>
      <x:c r="K180" s="56" t="n">
        <x:v>12</x:v>
      </x:c>
      <x:c r="L180" s="56" t="n">
        <x:v>2069.425484916719</x:v>
      </x:c>
      <x:c r="M180" s="56" t="n">
        <x:v>2135.994983901446</x:v>
      </x:c>
      <x:c r="N180" s="56" t="n">
        <x:v>534.4582223930714</x:v>
      </x:c>
      <x:c r="O180" s="56" t="n">
        <x:v>420.0365247286231</x:v>
      </x:c>
      <x:c r="P180" s="56" t="n">
        <x:v>0</x:v>
      </x:c>
      <x:c r="Q180" s="56" t="n">
        <x:v>2100.890933266786</x:v>
      </x:c>
      <x:c r="R180" s="68" t="n">
        <x:f>IFERROR(K180/I180,0)</x:f>
        <x:v>0.631578947368421</x:v>
      </x:c>
      <x:c r="S180" s="60" t="n">
        <x:f>K180*L180</x:f>
        <x:v>24833.10581900063</x:v>
      </x:c>
      <x:c r="T180" s="60" t="n">
        <x:f>S180*H180</x:f>
        <x:v>5058.951981704823</x:v>
      </x:c>
      <x:c r="U180" s="60" t="n">
        <x:f>K180*G180</x:f>
        <x:v>8926.76170799588</x:v>
      </x:c>
      <x:c r="V180" s="60" t="n">
        <x:f>S180-T180-M180-N180-O180-P180-Q180-U180</x:f>
        <x:v>5656.011465009997</x:v>
      </x:c>
      <x:c r="W180" s="68" t="n">
        <x:f>IFERROR(V180/S180,0)</x:f>
        <x:v>0.2277609376062174</x:v>
      </x:c>
      <x:c r="X180" s="72" t="n">
        <x:f>IFERROR(S180/Q180,0)</x:f>
        <x:v>11.820273687595162</x:v>
      </x:c>
      <x:c r="Y180" s="30" t="str">
        <x:v>Моделируемые данные Unitmetra</x:v>
      </x:c>
    </x:row>
    <x:row r="181">
      <x:c r="A181" s="48" t="str">
        <x:v>2026-02</x:v>
      </x:c>
      <x:c r="B181" s="48" t="str">
        <x:v>UM-030</x:v>
      </x:c>
      <x:c r="C181" s="48" t="str">
        <x:v>Брюки со стрелками</x:v>
      </x:c>
      <x:c r="D181" s="48" t="str">
        <x:v>Брюки</x:v>
      </x:c>
      <x:c r="E181" s="56" t="n">
        <x:v>2500</x:v>
      </x:c>
      <x:c r="F181" s="64" t="n">
        <x:v>0.15222980603331238</x:v>
      </x:c>
      <x:c r="G181" s="56" t="n">
        <x:v>743.8968089996566</x:v>
      </x:c>
      <x:c r="H181" s="64" t="n">
        <x:v>0.20371805357645</x:v>
      </x:c>
      <x:c r="I181" s="56" t="n">
        <x:v>21</x:v>
      </x:c>
      <x:c r="J181" s="56" t="n">
        <x:v>7</x:v>
      </x:c>
      <x:c r="K181" s="56" t="n">
        <x:v>14</x:v>
      </x:c>
      <x:c r="L181" s="56" t="n">
        <x:v>2119.425484916719</x:v>
      </x:c>
      <x:c r="M181" s="56" t="n">
        <x:v>2062.1112974554167</x:v>
      </x:c>
      <x:c r="N181" s="56" t="n">
        <x:v>471.92536700146616</x:v>
      </x:c>
      <x:c r="O181" s="56" t="n">
        <x:v>678.8679440069538</x:v>
      </x:c>
      <x:c r="P181" s="56" t="n">
        <x:v>140.2081429958546</x:v>
      </x:c>
      <x:c r="Q181" s="56" t="n">
        <x:v>2116.5025310714896</x:v>
      </x:c>
      <x:c r="R181" s="68" t="n">
        <x:f>IFERROR(K181/I181,0)</x:f>
        <x:v>0.6666666666666666</x:v>
      </x:c>
      <x:c r="S181" s="60" t="n">
        <x:f>K181*L181</x:f>
        <x:v>29671.956788834068</x:v>
      </x:c>
      <x:c r="T181" s="60" t="n">
        <x:f>S181*H181</x:f>
        <x:v>6044.713282825808</x:v>
      </x:c>
      <x:c r="U181" s="60" t="n">
        <x:f>K181*G181</x:f>
        <x:v>10414.555325995192</x:v>
      </x:c>
      <x:c r="V181" s="60" t="n">
        <x:f>S181-T181-M181-N181-O181-P181-Q181-U181</x:f>
        <x:v>7743.0728974818885</x:v>
      </x:c>
      <x:c r="W181" s="68" t="n">
        <x:f>IFERROR(V181/S181,0)</x:f>
        <x:v>0.26095592389092803</x:v>
      </x:c>
      <x:c r="X181" s="72" t="n">
        <x:f>IFERROR(S181/Q181,0)</x:f>
        <x:v>14.01933442234652</x:v>
      </x:c>
      <x:c r="Y181" s="30" t="str">
        <x:v>Моделируемые данные Unitmetra</x:v>
      </x:c>
    </x:row>
    <x:row r="182">
      <x:c r="A182" s="48" t="str">
        <x:v>2025-09</x:v>
      </x:c>
      <x:c r="B182" s="48" t="str">
        <x:v>UM-031</x:v>
      </x:c>
      <x:c r="C182" s="48" t="str">
        <x:v>Джоггеры</x:v>
      </x:c>
      <x:c r="D182" s="48" t="str">
        <x:v>Брюки</x:v>
      </x:c>
      <x:c r="E182" s="56" t="n">
        <x:v>3800</x:v>
      </x:c>
      <x:c r="F182" s="64" t="n">
        <x:v>0.2329786574753444</x:v>
      </x:c>
      <x:c r="G182" s="56" t="n">
        <x:v>1117.0976971569862</x:v>
      </x:c>
      <x:c r="H182" s="64" t="n">
        <x:v>0.20503924953655306</x:v>
      </x:c>
      <x:c r="I182" s="56" t="n">
        <x:v>50</x:v>
      </x:c>
      <x:c r="J182" s="56" t="n">
        <x:v>18</x:v>
      </x:c>
      <x:c r="K182" s="56" t="n">
        <x:v>32</x:v>
      </x:c>
      <x:c r="L182" s="56" t="n">
        <x:v>2914.6811015936914</x:v>
      </x:c>
      <x:c r="M182" s="56" t="n">
        <x:v>4024.103726031851</x:v>
      </x:c>
      <x:c r="N182" s="56" t="n">
        <x:v>1402.0304202594439</x:v>
      </x:c>
      <x:c r="O182" s="56" t="n">
        <x:v>1422.0989232992324</x:v>
      </x:c>
      <x:c r="P182" s="56" t="n">
        <x:v>0</x:v>
      </x:c>
      <x:c r="Q182" s="56" t="n">
        <x:v>4536.170570981242</x:v>
      </x:c>
      <x:c r="R182" s="68" t="n">
        <x:f>IFERROR(K182/I182,0)</x:f>
        <x:v>0.64</x:v>
      </x:c>
      <x:c r="S182" s="60" t="n">
        <x:f>K182*L182</x:f>
        <x:v>93269.79525099813</x:v>
      </x:c>
      <x:c r="T182" s="60" t="n">
        <x:f>S182*H182</x:f>
        <x:v>19123.968822692616</x:v>
      </x:c>
      <x:c r="U182" s="60" t="n">
        <x:f>K182*G182</x:f>
        <x:v>35747.12630902356</x:v>
      </x:c>
      <x:c r="V182" s="60" t="n">
        <x:f>S182-T182-M182-N182-O182-P182-Q182-U182</x:f>
        <x:v>27014.296478710174</x:v>
      </x:c>
      <x:c r="W182" s="68" t="n">
        <x:f>IFERROR(V182/S182,0)</x:f>
        <x:v>0.289636064987728</x:v>
      </x:c>
      <x:c r="X182" s="72" t="n">
        <x:f>IFERROR(S182/Q182,0)</x:f>
        <x:v>20.561350987915443</x:v>
      </x:c>
      <x:c r="Y182" s="30" t="str">
        <x:v>Моделируемые данные Unitmetra</x:v>
      </x:c>
    </x:row>
    <x:row r="183">
      <x:c r="A183" s="48" t="str">
        <x:v>2025-10</x:v>
      </x:c>
      <x:c r="B183" s="48" t="str">
        <x:v>UM-031</x:v>
      </x:c>
      <x:c r="C183" s="48" t="str">
        <x:v>Джоггеры</x:v>
      </x:c>
      <x:c r="D183" s="48" t="str">
        <x:v>Брюки</x:v>
      </x:c>
      <x:c r="E183" s="56" t="n">
        <x:v>3800</x:v>
      </x:c>
      <x:c r="F183" s="64" t="n">
        <x:v>0.2429786574753443</x:v>
      </x:c>
      <x:c r="G183" s="56" t="n">
        <x:v>1117.0976971569862</x:v>
      </x:c>
      <x:c r="H183" s="64" t="n">
        <x:v>0.20503924953655306</x:v>
      </x:c>
      <x:c r="I183" s="56" t="n">
        <x:v>52</x:v>
      </x:c>
      <x:c r="J183" s="56" t="n">
        <x:v>16</x:v>
      </x:c>
      <x:c r="K183" s="56" t="n">
        <x:v>36</x:v>
      </x:c>
      <x:c r="L183" s="56" t="n">
        <x:v>2876.6811015936914</x:v>
      </x:c>
      <x:c r="M183" s="56" t="n">
        <x:v>5436.762772082744</x:v>
      </x:c>
      <x:c r="N183" s="56" t="n">
        <x:v>1175.0736372103788</x:v>
      </x:c>
      <x:c r="O183" s="56" t="n">
        <x:v>599.9581628342254</x:v>
      </x:c>
      <x:c r="P183" s="56" t="n">
        <x:v>0</x:v>
      </x:c>
      <x:c r="Q183" s="56" t="n">
        <x:v>4900.382700976819</x:v>
      </x:c>
      <x:c r="R183" s="68" t="n">
        <x:f>IFERROR(K183/I183,0)</x:f>
        <x:v>0.6923076923076923</x:v>
      </x:c>
      <x:c r="S183" s="60" t="n">
        <x:f>K183*L183</x:f>
        <x:v>103560.51965737289</x:v>
      </x:c>
      <x:c r="T183" s="60" t="n">
        <x:f>S183*H183</x:f>
        <x:v>21233.97123216319</x:v>
      </x:c>
      <x:c r="U183" s="60" t="n">
        <x:f>K183*G183</x:f>
        <x:v>40215.51709765151</x:v>
      </x:c>
      <x:c r="V183" s="60" t="n">
        <x:f>S183-T183-M183-N183-O183-P183-Q183-U183</x:f>
        <x:v>29998.85405445403</x:v>
      </x:c>
      <x:c r="W183" s="68" t="n">
        <x:f>IFERROR(V183/S183,0)</x:f>
        <x:v>0.28967461879975503</x:v>
      </x:c>
      <x:c r="X183" s="72" t="n">
        <x:f>IFERROR(S183/Q183,0)</x:f>
        <x:v>21.13314938376744</x:v>
      </x:c>
      <x:c r="Y183" s="30" t="str">
        <x:v>Моделируемые данные Unitmetra</x:v>
      </x:c>
    </x:row>
    <x:row r="184">
      <x:c r="A184" s="48" t="str">
        <x:v>2025-11</x:v>
      </x:c>
      <x:c r="B184" s="48" t="str">
        <x:v>UM-031</x:v>
      </x:c>
      <x:c r="C184" s="48" t="str">
        <x:v>Джоггеры</x:v>
      </x:c>
      <x:c r="D184" s="48" t="str">
        <x:v>Брюки</x:v>
      </x:c>
      <x:c r="E184" s="56" t="n">
        <x:v>3800</x:v>
      </x:c>
      <x:c r="F184" s="64" t="n">
        <x:v>0.27297865747534433</x:v>
      </x:c>
      <x:c r="G184" s="56" t="n">
        <x:v>1117.0976971569862</x:v>
      </x:c>
      <x:c r="H184" s="64" t="n">
        <x:v>0.20503924953655306</x:v>
      </x:c>
      <x:c r="I184" s="56" t="n">
        <x:v>55</x:v>
      </x:c>
      <x:c r="J184" s="56" t="n">
        <x:v>23</x:v>
      </x:c>
      <x:c r="K184" s="56" t="n">
        <x:v>32</x:v>
      </x:c>
      <x:c r="L184" s="56" t="n">
        <x:v>2762.6811015936914</x:v>
      </x:c>
      <x:c r="M184" s="56" t="n">
        <x:v>6267.752529774679</x:v>
      </x:c>
      <x:c r="N184" s="56" t="n">
        <x:v>1591.003387519497</x:v>
      </x:c>
      <x:c r="O184" s="56" t="n">
        <x:v>874.0504340898285</x:v>
      </x:c>
      <x:c r="P184" s="56" t="n">
        <x:v>0</x:v>
      </x:c>
      <x:c r="Q184" s="56" t="n">
        <x:v>4629.594567336341</x:v>
      </x:c>
      <x:c r="R184" s="68" t="n">
        <x:f>IFERROR(K184/I184,0)</x:f>
        <x:v>0.5818181818181818</x:v>
      </x:c>
      <x:c r="S184" s="60" t="n">
        <x:f>K184*L184</x:f>
        <x:v>88405.79525099813</x:v>
      </x:c>
      <x:c r="T184" s="60" t="n">
        <x:f>S184*H184</x:f>
        <x:v>18126.657912946823</x:v>
      </x:c>
      <x:c r="U184" s="60" t="n">
        <x:f>K184*G184</x:f>
        <x:v>35747.12630902356</x:v>
      </x:c>
      <x:c r="V184" s="60" t="n">
        <x:f>S184-T184-M184-N184-O184-P184-Q184-U184</x:f>
        <x:v>21169.61011030741</x:v>
      </x:c>
      <x:c r="W184" s="68" t="n">
        <x:f>IFERROR(V184/S184,0)</x:f>
        <x:v>0.2394595292107663</x:v>
      </x:c>
      <x:c r="X184" s="72" t="n">
        <x:f>IFERROR(S184/Q184,0)</x:f>
        <x:v>19.095796395376976</x:v>
      </x:c>
      <x:c r="Y184" s="30" t="str">
        <x:v>Моделируемые данные Unitmetra</x:v>
      </x:c>
    </x:row>
    <x:row r="185">
      <x:c r="A185" s="48" t="str">
        <x:v>2025-12</x:v>
      </x:c>
      <x:c r="B185" s="48" t="str">
        <x:v>UM-031</x:v>
      </x:c>
      <x:c r="C185" s="48" t="str">
        <x:v>Джоггеры</x:v>
      </x:c>
      <x:c r="D185" s="48" t="str">
        <x:v>Брюки</x:v>
      </x:c>
      <x:c r="E185" s="56" t="n">
        <x:v>3800</x:v>
      </x:c>
      <x:c r="F185" s="64" t="n">
        <x:v>0.29297865747534435</x:v>
      </x:c>
      <x:c r="G185" s="56" t="n">
        <x:v>1117.0976971569862</x:v>
      </x:c>
      <x:c r="H185" s="64" t="n">
        <x:v>0.20503924953655306</x:v>
      </x:c>
      <x:c r="I185" s="56" t="n">
        <x:v>67</x:v>
      </x:c>
      <x:c r="J185" s="56" t="n">
        <x:v>29</x:v>
      </x:c>
      <x:c r="K185" s="56" t="n">
        <x:v>38</x:v>
      </x:c>
      <x:c r="L185" s="56" t="n">
        <x:v>2686.6811015936914</x:v>
      </x:c>
      <x:c r="M185" s="56" t="n">
        <x:v>5948.473307101604</x:v>
      </x:c>
      <x:c r="N185" s="56" t="n">
        <x:v>1998.6123889157436</x:v>
      </x:c>
      <x:c r="O185" s="56" t="n">
        <x:v>724.5620964467539</x:v>
      </x:c>
      <x:c r="P185" s="56" t="n">
        <x:v>0</x:v>
      </x:c>
      <x:c r="Q185" s="56" t="n">
        <x:v>4603.902584673438</x:v>
      </x:c>
      <x:c r="R185" s="68" t="n">
        <x:f>IFERROR(K185/I185,0)</x:f>
        <x:v>0.5671641791044776</x:v>
      </x:c>
      <x:c r="S185" s="60" t="n">
        <x:f>K185*L185</x:f>
        <x:v>102093.88186056027</x:v>
      </x:c>
      <x:c r="T185" s="60" t="n">
        <x:f>S185*H185</x:f>
        <x:v>20933.252918962786</x:v>
      </x:c>
      <x:c r="U185" s="60" t="n">
        <x:f>K185*G185</x:f>
        <x:v>42449.712491965474</x:v>
      </x:c>
      <x:c r="V185" s="60" t="n">
        <x:f>S185-T185-M185-N185-O185-P185-Q185-U185</x:f>
        <x:v>25435.366072494464</x:v>
      </x:c>
      <x:c r="W185" s="68" t="n">
        <x:f>IFERROR(V185/S185,0)</x:f>
        <x:v>0.2491370257351372</x:v>
      </x:c>
      <x:c r="X185" s="72" t="n">
        <x:f>IFERROR(S185/Q185,0)</x:f>
        <x:v>22.175508708727808</x:v>
      </x:c>
      <x:c r="Y185" s="30" t="str">
        <x:v>Моделируемые данные Unitmetra</x:v>
      </x:c>
    </x:row>
    <x:row r="186">
      <x:c r="A186" s="48" t="str">
        <x:v>2026-01</x:v>
      </x:c>
      <x:c r="B186" s="48" t="str">
        <x:v>UM-031</x:v>
      </x:c>
      <x:c r="C186" s="48" t="str">
        <x:v>Джоггеры</x:v>
      </x:c>
      <x:c r="D186" s="48" t="str">
        <x:v>Брюки</x:v>
      </x:c>
      <x:c r="E186" s="56" t="n">
        <x:v>3800</x:v>
      </x:c>
      <x:c r="F186" s="64" t="n">
        <x:v>0.26297865747534444</x:v>
      </x:c>
      <x:c r="G186" s="56" t="n">
        <x:v>1117.0976971569862</x:v>
      </x:c>
      <x:c r="H186" s="64" t="n">
        <x:v>0.20503924953655306</x:v>
      </x:c>
      <x:c r="I186" s="56" t="n">
        <x:v>39</x:v>
      </x:c>
      <x:c r="J186" s="56" t="n">
        <x:v>14</x:v>
      </x:c>
      <x:c r="K186" s="56" t="n">
        <x:v>25</x:v>
      </x:c>
      <x:c r="L186" s="56" t="n">
        <x:v>2800.681101593691</x:v>
      </x:c>
      <x:c r="M186" s="56" t="n">
        <x:v>3497.0513728505643</x:v>
      </x:c>
      <x:c r="N186" s="56" t="n">
        <x:v>1029.8374570132535</x:v>
      </x:c>
      <x:c r="O186" s="56" t="n">
        <x:v>695.2231092534452</x:v>
      </x:c>
      <x:c r="P186" s="56" t="n">
        <x:v>0</x:v>
      </x:c>
      <x:c r="Q186" s="56" t="n">
        <x:v>2898.1377654884095</x:v>
      </x:c>
      <x:c r="R186" s="68" t="n">
        <x:f>IFERROR(K186/I186,0)</x:f>
        <x:v>0.6410256410256411</x:v>
      </x:c>
      <x:c r="S186" s="60" t="n">
        <x:f>K186*L186</x:f>
        <x:v>70017.02753984227</x:v>
      </x:c>
      <x:c r="T186" s="60" t="n">
        <x:f>S186*H186</x:f>
        <x:v>14356.238781549426</x:v>
      </x:c>
      <x:c r="U186" s="60" t="n">
        <x:f>K186*G186</x:f>
        <x:v>27927.442428924656</x:v>
      </x:c>
      <x:c r="V186" s="60" t="n">
        <x:f>S186-T186-M186-N186-O186-P186-Q186-U186</x:f>
        <x:v>19613.096624762515</x:v>
      </x:c>
      <x:c r="W186" s="68" t="n">
        <x:f>IFERROR(V186/S186,0)</x:f>
        <x:v>0.2801189555440916</x:v>
      </x:c>
      <x:c r="X186" s="72" t="n">
        <x:f>IFERROR(S186/Q186,0)</x:f>
        <x:v>24.159316500967865</x:v>
      </x:c>
      <x:c r="Y186" s="30" t="str">
        <x:v>Моделируемые данные Unitmetra</x:v>
      </x:c>
    </x:row>
    <x:row r="187">
      <x:c r="A187" s="48" t="str">
        <x:v>2026-02</x:v>
      </x:c>
      <x:c r="B187" s="48" t="str">
        <x:v>UM-031</x:v>
      </x:c>
      <x:c r="C187" s="48" t="str">
        <x:v>Джоггеры</x:v>
      </x:c>
      <x:c r="D187" s="48" t="str">
        <x:v>Брюки</x:v>
      </x:c>
      <x:c r="E187" s="56" t="n">
        <x:v>3800</x:v>
      </x:c>
      <x:c r="F187" s="64" t="n">
        <x:v>0.2429786574753443</x:v>
      </x:c>
      <x:c r="G187" s="56" t="n">
        <x:v>1117.0976971569862</x:v>
      </x:c>
      <x:c r="H187" s="64" t="n">
        <x:v>0.20503924953655306</x:v>
      </x:c>
      <x:c r="I187" s="56" t="n">
        <x:v>40</x:v>
      </x:c>
      <x:c r="J187" s="56" t="n">
        <x:v>14</x:v>
      </x:c>
      <x:c r="K187" s="56" t="n">
        <x:v>26</x:v>
      </x:c>
      <x:c r="L187" s="56" t="n">
        <x:v>2876.6811015936914</x:v>
      </x:c>
      <x:c r="M187" s="56" t="n">
        <x:v>4278.712307911706</x:v>
      </x:c>
      <x:c r="N187" s="56" t="n">
        <x:v>912.6890980545927</x:v>
      </x:c>
      <x:c r="O187" s="56" t="n">
        <x:v>899.4677586684573</x:v>
      </x:c>
      <x:c r="P187" s="56" t="n">
        <x:v>0</x:v>
      </x:c>
      <x:c r="Q187" s="56" t="n">
        <x:v>3367.4012764818667</x:v>
      </x:c>
      <x:c r="R187" s="68" t="n">
        <x:f>IFERROR(K187/I187,0)</x:f>
        <x:v>0.65</x:v>
      </x:c>
      <x:c r="S187" s="60" t="n">
        <x:f>K187*L187</x:f>
        <x:v>74793.70864143598</x:v>
      </x:c>
      <x:c r="T187" s="60" t="n">
        <x:f>S187*H187</x:f>
        <x:v>15335.645889895637</x:v>
      </x:c>
      <x:c r="U187" s="60" t="n">
        <x:f>K187*G187</x:f>
        <x:v>29044.540126081643</x:v>
      </x:c>
      <x:c r="V187" s="60" t="n">
        <x:f>S187-T187-M187-N187-O187-P187-Q187-U187</x:f>
        <x:v>20955.252184342076</x:v>
      </x:c>
      <x:c r="W187" s="68" t="n">
        <x:f>IFERROR(V187/S187,0)</x:f>
        <x:v>0.28017399544662763</x:v>
      </x:c>
      <x:c r="X187" s="72" t="n">
        <x:f>IFERROR(S187/Q187,0)</x:f>
        <x:v>22.211106577585436</x:v>
      </x:c>
      <x:c r="Y187" s="30" t="str">
        <x:v>Моделируемые данные Unitmetra</x:v>
      </x:c>
    </x:row>
    <x:row r="188">
      <x:c r="A188" s="48" t="str">
        <x:v>2025-09</x:v>
      </x:c>
      <x:c r="B188" s="48" t="str">
        <x:v>UM-032</x:v>
      </x:c>
      <x:c r="C188" s="48" t="str">
        <x:v>Зауженные офисные</x:v>
      </x:c>
      <x:c r="D188" s="48" t="str">
        <x:v>Брюки</x:v>
      </x:c>
      <x:c r="E188" s="56" t="n">
        <x:v>2500</x:v>
      </x:c>
      <x:c r="F188" s="64" t="n">
        <x:v>0.28841000816104123</x:v>
      </x:c>
      <x:c r="G188" s="56" t="n">
        <x:v>794.2734581474822</x:v>
      </x:c>
      <x:c r="H188" s="64" t="n">
        <x:v>0.19710044158730367</x:v>
      </x:c>
      <x:c r="I188" s="56" t="n">
        <x:v>26</x:v>
      </x:c>
      <x:c r="J188" s="56" t="n">
        <x:v>11</x:v>
      </x:c>
      <x:c r="K188" s="56" t="n">
        <x:v>15</x:v>
      </x:c>
      <x:c r="L188" s="56" t="n">
        <x:v>1778.974979597397</x:v>
      </x:c>
      <x:c r="M188" s="56" t="n">
        <x:v>2620.8747887519476</x:v>
      </x:c>
      <x:c r="N188" s="56" t="n">
        <x:v>883.1015497061358</x:v>
      </x:c>
      <x:c r="O188" s="56" t="n">
        <x:v>766.8062557762073</x:v>
      </x:c>
      <x:c r="P188" s="56" t="n">
        <x:v>92.59360369934201</x:v>
      </x:c>
      <x:c r="Q188" s="56" t="n">
        <x:v>2948.9168346156566</x:v>
      </x:c>
      <x:c r="R188" s="68" t="n">
        <x:f>IFERROR(K188/I188,0)</x:f>
        <x:v>0.5769230769230769</x:v>
      </x:c>
      <x:c r="S188" s="60" t="n">
        <x:f>K188*L188</x:f>
        <x:v>26684.624693960952</x:v>
      </x:c>
      <x:c r="T188" s="60" t="n">
        <x:f>S188*H188</x:f>
        <x:v>5259.551310771171</x:v>
      </x:c>
      <x:c r="U188" s="60" t="n">
        <x:f>K188*G188</x:f>
        <x:v>11914.101872212234</x:v>
      </x:c>
      <x:c r="V188" s="60" t="n">
        <x:f>S188-T188-M188-N188-O188-P188-Q188-U188</x:f>
        <x:v>2198.678478428261</x:v>
      </x:c>
      <x:c r="W188" s="68" t="n">
        <x:f>IFERROR(V188/S188,0)</x:f>
        <x:v>0.08239495603345877</x:v>
      </x:c>
      <x:c r="X188" s="72" t="n">
        <x:f>IFERROR(S188/Q188,0)</x:f>
        <x:v>9.048958037990536</x:v>
      </x:c>
      <x:c r="Y188" s="30" t="str">
        <x:v>Моделируемые данные Unitmetra</x:v>
      </x:c>
    </x:row>
    <x:row r="189">
      <x:c r="A189" s="48" t="str">
        <x:v>2025-10</x:v>
      </x:c>
      <x:c r="B189" s="48" t="str">
        <x:v>UM-032</x:v>
      </x:c>
      <x:c r="C189" s="48" t="str">
        <x:v>Зауженные офисные</x:v>
      </x:c>
      <x:c r="D189" s="48" t="str">
        <x:v>Брюки</x:v>
      </x:c>
      <x:c r="E189" s="56" t="n">
        <x:v>2500</x:v>
      </x:c>
      <x:c r="F189" s="64" t="n">
        <x:v>0.29841000816104124</x:v>
      </x:c>
      <x:c r="G189" s="56" t="n">
        <x:v>794.2734581474822</x:v>
      </x:c>
      <x:c r="H189" s="64" t="n">
        <x:v>0.19710044158730367</x:v>
      </x:c>
      <x:c r="I189" s="56" t="n">
        <x:v>31</x:v>
      </x:c>
      <x:c r="J189" s="56" t="n">
        <x:v>13</x:v>
      </x:c>
      <x:c r="K189" s="56" t="n">
        <x:v>18</x:v>
      </x:c>
      <x:c r="L189" s="56" t="n">
        <x:v>1753.974979597397</x:v>
      </x:c>
      <x:c r="M189" s="56" t="n">
        <x:v>3332.5420795362406</x:v>
      </x:c>
      <x:c r="N189" s="56" t="n">
        <x:v>733.475277624501</x:v>
      </x:c>
      <x:c r="O189" s="56" t="n">
        <x:v>320.33800057622483</x:v>
      </x:c>
      <x:c r="P189" s="56" t="n">
        <x:v>0</x:v>
      </x:c>
      <x:c r="Q189" s="56" t="n">
        <x:v>3298.686772550649</x:v>
      </x:c>
      <x:c r="R189" s="68" t="n">
        <x:f>IFERROR(K189/I189,0)</x:f>
        <x:v>0.5806451612903226</x:v>
      </x:c>
      <x:c r="S189" s="60" t="n">
        <x:f>K189*L189</x:f>
        <x:v>31571.549632753144</x:v>
      </x:c>
      <x:c r="T189" s="60" t="n">
        <x:f>S189*H189</x:f>
        <x:v>6222.76637421112</x:v>
      </x:c>
      <x:c r="U189" s="60" t="n">
        <x:f>K189*G189</x:f>
        <x:v>14296.92224665468</x:v>
      </x:c>
      <x:c r="V189" s="60" t="n">
        <x:f>S189-T189-M189-N189-O189-P189-Q189-U189</x:f>
        <x:v>3366.818881599729</x:v>
      </x:c>
      <x:c r="W189" s="68" t="n">
        <x:f>IFERROR(V189/S189,0)</x:f>
        <x:v>0.10664091312473632</x:v>
      </x:c>
      <x:c r="X189" s="72" t="n">
        <x:f>IFERROR(S189/Q189,0)</x:f>
        <x:v>9.570944988008371</x:v>
      </x:c>
      <x:c r="Y189" s="30" t="str">
        <x:v>Моделируемые данные Unitmetra</x:v>
      </x:c>
    </x:row>
    <x:row r="190">
      <x:c r="A190" s="48" t="str">
        <x:v>2025-11</x:v>
      </x:c>
      <x:c r="B190" s="48" t="str">
        <x:v>UM-032</x:v>
      </x:c>
      <x:c r="C190" s="48" t="str">
        <x:v>Зауженные офисные</x:v>
      </x:c>
      <x:c r="D190" s="48" t="str">
        <x:v>Брюки</x:v>
      </x:c>
      <x:c r="E190" s="56" t="n">
        <x:v>2500</x:v>
      </x:c>
      <x:c r="F190" s="64" t="n">
        <x:v>0.32841000816104127</x:v>
      </x:c>
      <x:c r="G190" s="56" t="n">
        <x:v>794.2734581474822</x:v>
      </x:c>
      <x:c r="H190" s="64" t="n">
        <x:v>0.19710044158730367</x:v>
      </x:c>
      <x:c r="I190" s="56" t="n">
        <x:v>38</x:v>
      </x:c>
      <x:c r="J190" s="56" t="n">
        <x:v>16</x:v>
      </x:c>
      <x:c r="K190" s="56" t="n">
        <x:v>22</x:v>
      </x:c>
      <x:c r="L190" s="56" t="n">
        <x:v>1678.974979597397</x:v>
      </x:c>
      <x:c r="M190" s="56" t="n">
        <x:v>3088.706255854829</x:v>
      </x:c>
      <x:c r="N190" s="56" t="n">
        <x:v>1174.9053311368891</x:v>
      </x:c>
      <x:c r="O190" s="56" t="n">
        <x:v>389.11879844737183</x:v>
      </x:c>
      <x:c r="P190" s="56" t="n">
        <x:v>298.387040850013</x:v>
      </x:c>
      <x:c r="Q190" s="56" t="n">
        <x:v>3334.4983222965943</x:v>
      </x:c>
      <x:c r="R190" s="68" t="n">
        <x:f>IFERROR(K190/I190,0)</x:f>
        <x:v>0.5789473684210527</x:v>
      </x:c>
      <x:c r="S190" s="60" t="n">
        <x:f>K190*L190</x:f>
        <x:v>36937.44955114273</x:v>
      </x:c>
      <x:c r="T190" s="60" t="n">
        <x:f>S190*H190</x:f>
        <x:v>7280.387617638984</x:v>
      </x:c>
      <x:c r="U190" s="60" t="n">
        <x:f>K190*G190</x:f>
        <x:v>17474.016079244608</x:v>
      </x:c>
      <x:c r="V190" s="60" t="n">
        <x:f>S190-T190-M190-N190-O190-P190-Q190-U190</x:f>
        <x:v>3897.4301056734475</x:v>
      </x:c>
      <x:c r="W190" s="68" t="n">
        <x:f>IFERROR(V190/S190,0)</x:f>
        <x:v>0.10551432632827441</x:v>
      </x:c>
      <x:c r="X190" s="72" t="n">
        <x:f>IFERROR(S190/Q190,0)</x:f>
        <x:v>11.077363363524658</x:v>
      </x:c>
      <x:c r="Y190" s="30" t="str">
        <x:v>Моделируемые данные Unitmetra</x:v>
      </x:c>
    </x:row>
    <x:row r="191">
      <x:c r="A191" s="48" t="str">
        <x:v>2025-12</x:v>
      </x:c>
      <x:c r="B191" s="48" t="str">
        <x:v>UM-032</x:v>
      </x:c>
      <x:c r="C191" s="48" t="str">
        <x:v>Зауженные офисные</x:v>
      </x:c>
      <x:c r="D191" s="48" t="str">
        <x:v>Брюки</x:v>
      </x:c>
      <x:c r="E191" s="56" t="n">
        <x:v>2500</x:v>
      </x:c>
      <x:c r="F191" s="64" t="n">
        <x:v>0.3484100081610412</x:v>
      </x:c>
      <x:c r="G191" s="56" t="n">
        <x:v>794.2734581474822</x:v>
      </x:c>
      <x:c r="H191" s="64" t="n">
        <x:v>0.19710044158730367</x:v>
      </x:c>
      <x:c r="I191" s="56" t="n">
        <x:v>40</x:v>
      </x:c>
      <x:c r="J191" s="56" t="n">
        <x:v>18</x:v>
      </x:c>
      <x:c r="K191" s="56" t="n">
        <x:v>22</x:v>
      </x:c>
      <x:c r="L191" s="56" t="n">
        <x:v>1628.9749795973971</x:v>
      </x:c>
      <x:c r="M191" s="56" t="n">
        <x:v>3804.540230708518</x:v>
      </x:c>
      <x:c r="N191" s="56" t="n">
        <x:v>1276.4382369856628</x:v>
      </x:c>
      <x:c r="O191" s="56" t="n">
        <x:v>287.8641830071677</x:v>
      </x:c>
      <x:c r="P191" s="56" t="n">
        <x:v>0</x:v>
      </x:c>
      <x:c r="Q191" s="56" t="n">
        <x:v>3414.004672344529</x:v>
      </x:c>
      <x:c r="R191" s="68" t="n">
        <x:f>IFERROR(K191/I191,0)</x:f>
        <x:v>0.55</x:v>
      </x:c>
      <x:c r="S191" s="60" t="n">
        <x:f>K191*L191</x:f>
        <x:v>35837.44955114274</x:v>
      </x:c>
      <x:c r="T191" s="60" t="n">
        <x:f>S191*H191</x:f>
        <x:v>7063.577131892951</x:v>
      </x:c>
      <x:c r="U191" s="60" t="n">
        <x:f>K191*G191</x:f>
        <x:v>17474.016079244608</x:v>
      </x:c>
      <x:c r="V191" s="60" t="n">
        <x:f>S191-T191-M191-N191-O191-P191-Q191-U191</x:f>
        <x:v>2517.0090169593022</x:v>
      </x:c>
      <x:c r="W191" s="68" t="n">
        <x:f>IFERROR(V191/S191,0)</x:f>
        <x:v>0.07023404423262154</x:v>
      </x:c>
      <x:c r="X191" s="72" t="n">
        <x:f>IFERROR(S191/Q191,0)</x:f>
        <x:v>10.497188197030725</x:v>
      </x:c>
      <x:c r="Y191" s="30" t="str">
        <x:v>Моделируемые данные Unitmetra</x:v>
      </x:c>
    </x:row>
    <x:row r="192">
      <x:c r="A192" s="48" t="str">
        <x:v>2026-01</x:v>
      </x:c>
      <x:c r="B192" s="48" t="str">
        <x:v>UM-032</x:v>
      </x:c>
      <x:c r="C192" s="48" t="str">
        <x:v>Зауженные офисные</x:v>
      </x:c>
      <x:c r="D192" s="48" t="str">
        <x:v>Брюки</x:v>
      </x:c>
      <x:c r="E192" s="56" t="n">
        <x:v>2500</x:v>
      </x:c>
      <x:c r="F192" s="64" t="n">
        <x:v>0.31841000816104126</x:v>
      </x:c>
      <x:c r="G192" s="56" t="n">
        <x:v>794.2734581474822</x:v>
      </x:c>
      <x:c r="H192" s="64" t="n">
        <x:v>0.19710044158730367</x:v>
      </x:c>
      <x:c r="I192" s="56" t="n">
        <x:v>24</x:v>
      </x:c>
      <x:c r="J192" s="56" t="n">
        <x:v>10</x:v>
      </x:c>
      <x:c r="K192" s="56" t="n">
        <x:v>14</x:v>
      </x:c>
      <x:c r="L192" s="56" t="n">
        <x:v>1703.974979597397</x:v>
      </x:c>
      <x:c r="M192" s="56" t="n">
        <x:v>2671.5077430226993</x:v>
      </x:c>
      <x:c r="N192" s="56" t="n">
        <x:v>832.7212752425568</x:v>
      </x:c>
      <x:c r="O192" s="56" t="n">
        <x:v>643.7019790744725</x:v>
      </x:c>
      <x:c r="P192" s="56" t="n">
        <x:v>0</x:v>
      </x:c>
      <x:c r="Q192" s="56" t="n">
        <x:v>2491.062751580485</x:v>
      </x:c>
      <x:c r="R192" s="68" t="n">
        <x:f>IFERROR(K192/I192,0)</x:f>
        <x:v>0.5833333333333334</x:v>
      </x:c>
      <x:c r="S192" s="60" t="n">
        <x:f>K192*L192</x:f>
        <x:v>23855.649714363557</x:v>
      </x:c>
      <x:c r="T192" s="60" t="n">
        <x:f>S192*H192</x:f>
        <x:v>4701.959093053091</x:v>
      </x:c>
      <x:c r="U192" s="60" t="n">
        <x:f>K192*G192</x:f>
        <x:v>11119.82841406475</x:v>
      </x:c>
      <x:c r="V192" s="60" t="n">
        <x:f>S192-T192-M192-N192-O192-P192-Q192-U192</x:f>
        <x:v>1394.8684583255035</x:v>
      </x:c>
      <x:c r="W192" s="68" t="n">
        <x:f>IFERROR(V192/S192,0)</x:f>
        <x:v>0.05847119969596339</x:v>
      </x:c>
      <x:c r="X192" s="72" t="n">
        <x:f>IFERROR(S192/Q192,0)</x:f>
        <x:v>9.57649489127805</x:v>
      </x:c>
      <x:c r="Y192" s="30" t="str">
        <x:v>Моделируемые данные Unitmetra</x:v>
      </x:c>
    </x:row>
    <x:row r="193">
      <x:c r="A193" s="48" t="str">
        <x:v>2026-02</x:v>
      </x:c>
      <x:c r="B193" s="48" t="str">
        <x:v>UM-032</x:v>
      </x:c>
      <x:c r="C193" s="48" t="str">
        <x:v>Зауженные офисные</x:v>
      </x:c>
      <x:c r="D193" s="48" t="str">
        <x:v>Брюки</x:v>
      </x:c>
      <x:c r="E193" s="56" t="n">
        <x:v>2500</x:v>
      </x:c>
      <x:c r="F193" s="64" t="n">
        <x:v>0.29841000816104124</x:v>
      </x:c>
      <x:c r="G193" s="56" t="n">
        <x:v>794.2734581474822</x:v>
      </x:c>
      <x:c r="H193" s="64" t="n">
        <x:v>0.19710044158730367</x:v>
      </x:c>
      <x:c r="I193" s="56" t="n">
        <x:v>27</x:v>
      </x:c>
      <x:c r="J193" s="56" t="n">
        <x:v>12</x:v>
      </x:c>
      <x:c r="K193" s="56" t="n">
        <x:v>15</x:v>
      </x:c>
      <x:c r="L193" s="56" t="n">
        <x:v>1753.974979597397</x:v>
      </x:c>
      <x:c r="M193" s="56" t="n">
        <x:v>3163.4956428527553</x:v>
      </x:c>
      <x:c r="N193" s="56" t="n">
        <x:v>1013.1617320873581</x:v>
      </x:c>
      <x:c r="O193" s="56" t="n">
        <x:v>484.3660076549711</x:v>
      </x:c>
      <x:c r="P193" s="56" t="n">
        <x:v>70.37105210071086</x:v>
      </x:c>
      <x:c r="Q193" s="56" t="n">
        <x:v>2585.4425197917008</x:v>
      </x:c>
      <x:c r="R193" s="68" t="n">
        <x:f>IFERROR(K193/I193,0)</x:f>
        <x:v>0.5555555555555556</x:v>
      </x:c>
      <x:c r="S193" s="60" t="n">
        <x:f>K193*L193</x:f>
        <x:v>26309.624693960952</x:v>
      </x:c>
      <x:c r="T193" s="60" t="n">
        <x:f>S193*H193</x:f>
        <x:v>5185.638645175933</x:v>
      </x:c>
      <x:c r="U193" s="60" t="n">
        <x:f>K193*G193</x:f>
        <x:v>11914.101872212234</x:v>
      </x:c>
      <x:c r="V193" s="60" t="n">
        <x:f>S193-T193-M193-N193-O193-P193-Q193-U193</x:f>
        <x:v>1893.047222085288</x:v>
      </x:c>
      <x:c r="W193" s="68" t="n">
        <x:f>IFERROR(V193/S193,0)</x:f>
        <x:v>0.0719526501843188</x:v>
      </x:c>
      <x:c r="X193" s="72" t="n">
        <x:f>IFERROR(S193/Q193,0)</x:f>
        <x:v>10.1760625086651</x:v>
      </x:c>
      <x:c r="Y193" s="30" t="str">
        <x:v>Моделируемые данные Unitmetra</x:v>
      </x:c>
    </x:row>
    <x:row r="194">
      <x:c r="A194" s="48" t="str">
        <x:v>2025-09</x:v>
      </x:c>
      <x:c r="B194" s="48" t="str">
        <x:v>UM-033</x:v>
      </x:c>
      <x:c r="C194" s="48" t="str">
        <x:v>Широкие костюмные</x:v>
      </x:c>
      <x:c r="D194" s="48" t="str">
        <x:v>Брюки</x:v>
      </x:c>
      <x:c r="E194" s="56" t="n">
        <x:v>2900</x:v>
      </x:c>
      <x:c r="F194" s="64" t="n">
        <x:v>0.2879693486899244</x:v>
      </x:c>
      <x:c r="G194" s="56" t="n">
        <x:v>791.6511030024172</x:v>
      </x:c>
      <x:c r="H194" s="64" t="n">
        <x:v>0.20218912890883797</x:v>
      </x:c>
      <x:c r="I194" s="56" t="n">
        <x:v>43</x:v>
      </x:c>
      <x:c r="J194" s="56" t="n">
        <x:v>18</x:v>
      </x:c>
      <x:c r="K194" s="56" t="n">
        <x:v>25</x:v>
      </x:c>
      <x:c r="L194" s="56" t="n">
        <x:v>2064.8888887992193</x:v>
      </x:c>
      <x:c r="M194" s="56" t="n">
        <x:v>4265.253424738864</x:v>
      </x:c>
      <x:c r="N194" s="56" t="n">
        <x:v>1518.1447027255092</x:v>
      </x:c>
      <x:c r="O194" s="56" t="n">
        <x:v>279.4709922870308</x:v>
      </x:c>
      <x:c r="P194" s="56" t="n">
        <x:v>0</x:v>
      </x:c>
      <x:c r="Q194" s="56" t="n">
        <x:v>3063.7557691825123</x:v>
      </x:c>
      <x:c r="R194" s="68" t="n">
        <x:f>IFERROR(K194/I194,0)</x:f>
        <x:v>0.5813953488372093</x:v>
      </x:c>
      <x:c r="S194" s="60" t="n">
        <x:f>K194*L194</x:f>
        <x:v>51622.22221998048</x:v>
      </x:c>
      <x:c r="T194" s="60" t="n">
        <x:f>S194*H194</x:f>
        <x:v>10437.452142996313</x:v>
      </x:c>
      <x:c r="U194" s="60" t="n">
        <x:f>K194*G194</x:f>
        <x:v>19791.27757506043</x:v>
      </x:c>
      <x:c r="V194" s="60" t="n">
        <x:f>S194-T194-M194-N194-O194-P194-Q194-U194</x:f>
        <x:v>12266.86761298982</x:v>
      </x:c>
      <x:c r="W194" s="68" t="n">
        <x:f>IFERROR(V194/S194,0)</x:f>
        <x:v>0.23762765501873154</x:v>
      </x:c>
      <x:c r="X194" s="72" t="n">
        <x:f>IFERROR(S194/Q194,0)</x:f>
        <x:v>16.84932680967406</x:v>
      </x:c>
      <x:c r="Y194" s="30" t="str">
        <x:v>Моделируемые данные Unitmetra</x:v>
      </x:c>
    </x:row>
    <x:row r="195">
      <x:c r="A195" s="48" t="str">
        <x:v>2025-10</x:v>
      </x:c>
      <x:c r="B195" s="48" t="str">
        <x:v>UM-033</x:v>
      </x:c>
      <x:c r="C195" s="48" t="str">
        <x:v>Широкие костюмные</x:v>
      </x:c>
      <x:c r="D195" s="48" t="str">
        <x:v>Брюки</x:v>
      </x:c>
      <x:c r="E195" s="56" t="n">
        <x:v>2900</x:v>
      </x:c>
      <x:c r="F195" s="64" t="n">
        <x:v>0.2979693486899244</x:v>
      </x:c>
      <x:c r="G195" s="56" t="n">
        <x:v>791.6511030024172</x:v>
      </x:c>
      <x:c r="H195" s="64" t="n">
        <x:v>0.20218912890883797</x:v>
      </x:c>
      <x:c r="I195" s="56" t="n">
        <x:v>41</x:v>
      </x:c>
      <x:c r="J195" s="56" t="n">
        <x:v>16</x:v>
      </x:c>
      <x:c r="K195" s="56" t="n">
        <x:v>25</x:v>
      </x:c>
      <x:c r="L195" s="56" t="n">
        <x:v>2035.888888799219</x:v>
      </x:c>
      <x:c r="M195" s="56" t="n">
        <x:v>3428.7508963875484</x:v>
      </x:c>
      <x:c r="N195" s="56" t="n">
        <x:v>1083.3544578642905</x:v>
      </x:c>
      <x:c r="O195" s="56" t="n">
        <x:v>862.5270034008469</x:v>
      </x:c>
      <x:c r="P195" s="56" t="n">
        <x:v>0</x:v>
      </x:c>
      <x:c r="Q195" s="56" t="n">
        <x:v>2937.2686436279064</x:v>
      </x:c>
      <x:c r="R195" s="68" t="n">
        <x:f>IFERROR(K195/I195,0)</x:f>
        <x:v>0.6097560975609756</x:v>
      </x:c>
      <x:c r="S195" s="60" t="n">
        <x:f>K195*L195</x:f>
        <x:v>50897.222219980475</x:v>
      </x:c>
      <x:c r="T195" s="60" t="n">
        <x:f>S195*H195</x:f>
        <x:v>10290.865024537405</x:v>
      </x:c>
      <x:c r="U195" s="60" t="n">
        <x:f>K195*G195</x:f>
        <x:v>19791.27757506043</x:v>
      </x:c>
      <x:c r="V195" s="60" t="n">
        <x:f>S195-T195-M195-N195-O195-P195-Q195-U195</x:f>
        <x:v>12503.178619102036</x:v>
      </x:c>
      <x:c r="W195" s="68" t="n">
        <x:f>IFERROR(V195/S195,0)</x:f>
        <x:v>0.24565542231484933</x:v>
      </x:c>
      <x:c r="X195" s="72" t="n">
        <x:f>IFERROR(S195/Q195,0)</x:f>
        <x:v>17.32807870005238</x:v>
      </x:c>
      <x:c r="Y195" s="30" t="str">
        <x:v>Моделируемые данные Unitmetra</x:v>
      </x:c>
    </x:row>
    <x:row r="196">
      <x:c r="A196" s="48" t="str">
        <x:v>2025-11</x:v>
      </x:c>
      <x:c r="B196" s="48" t="str">
        <x:v>UM-033</x:v>
      </x:c>
      <x:c r="C196" s="48" t="str">
        <x:v>Широкие костюмные</x:v>
      </x:c>
      <x:c r="D196" s="48" t="str">
        <x:v>Брюки</x:v>
      </x:c>
      <x:c r="E196" s="56" t="n">
        <x:v>2900</x:v>
      </x:c>
      <x:c r="F196" s="64" t="n">
        <x:v>0.32796934868992444</x:v>
      </x:c>
      <x:c r="G196" s="56" t="n">
        <x:v>791.6511030024172</x:v>
      </x:c>
      <x:c r="H196" s="64" t="n">
        <x:v>0.20218912890883797</x:v>
      </x:c>
      <x:c r="I196" s="56" t="n">
        <x:v>49</x:v>
      </x:c>
      <x:c r="J196" s="56" t="n">
        <x:v>18</x:v>
      </x:c>
      <x:c r="K196" s="56" t="n">
        <x:v>31</x:v>
      </x:c>
      <x:c r="L196" s="56" t="n">
        <x:v>1948.888888799219</x:v>
      </x:c>
      <x:c r="M196" s="56" t="n">
        <x:v>4798.574614925338</x:v>
      </x:c>
      <x:c r="N196" s="56" t="n">
        <x:v>1140.9231817279024</x:v>
      </x:c>
      <x:c r="O196" s="56" t="n">
        <x:v>584.015931395928</x:v>
      </x:c>
      <x:c r="P196" s="56" t="n">
        <x:v>0</x:v>
      </x:c>
      <x:c r="Q196" s="56" t="n">
        <x:v>1812.670930873938</x:v>
      </x:c>
      <x:c r="R196" s="68" t="n">
        <x:f>IFERROR(K196/I196,0)</x:f>
        <x:v>0.6326530612244898</x:v>
      </x:c>
      <x:c r="S196" s="60" t="n">
        <x:f>K196*L196</x:f>
        <x:v>60415.55555277579</x:v>
      </x:c>
      <x:c r="T196" s="60" t="n">
        <x:f>S196*H196</x:f>
        <x:v>12215.368549759245</x:v>
      </x:c>
      <x:c r="U196" s="60" t="n">
        <x:f>K196*G196</x:f>
        <x:v>24541.184193074936</x:v>
      </x:c>
      <x:c r="V196" s="60" t="n">
        <x:f>S196-T196-M196-N196-O196-P196-Q196-U196</x:f>
        <x:v>15322.818151018502</x:v>
      </x:c>
      <x:c r="W196" s="68" t="n">
        <x:f>IFERROR(V196/S196,0)</x:f>
        <x:v>0.25362372340734846</x:v>
      </x:c>
      <x:c r="X196" s="72" t="n">
        <x:f>IFERROR(S196/Q196,0)</x:f>
        <x:v>33.329577102915096</x:v>
      </x:c>
      <x:c r="Y196" s="30" t="str">
        <x:v>Моделируемые данные Unitmetra</x:v>
      </x:c>
    </x:row>
    <x:row r="197">
      <x:c r="A197" s="48" t="str">
        <x:v>2025-12</x:v>
      </x:c>
      <x:c r="B197" s="48" t="str">
        <x:v>UM-033</x:v>
      </x:c>
      <x:c r="C197" s="48" t="str">
        <x:v>Широкие костюмные</x:v>
      </x:c>
      <x:c r="D197" s="48" t="str">
        <x:v>Брюки</x:v>
      </x:c>
      <x:c r="E197" s="56" t="n">
        <x:v>2900</x:v>
      </x:c>
      <x:c r="F197" s="64" t="n">
        <x:v>0.34796934868992435</x:v>
      </x:c>
      <x:c r="G197" s="56" t="n">
        <x:v>791.6511030024172</x:v>
      </x:c>
      <x:c r="H197" s="64" t="n">
        <x:v>0.20218912890883797</x:v>
      </x:c>
      <x:c r="I197" s="56" t="n">
        <x:v>49</x:v>
      </x:c>
      <x:c r="J197" s="56" t="n">
        <x:v>21</x:v>
      </x:c>
      <x:c r="K197" s="56" t="n">
        <x:v>28</x:v>
      </x:c>
      <x:c r="L197" s="56" t="n">
        <x:v>1890.8888887992193</x:v>
      </x:c>
      <x:c r="M197" s="56" t="n">
        <x:v>3980.8964161368863</x:v>
      </x:c>
      <x:c r="N197" s="56" t="n">
        <x:v>1401.857757243333</x:v>
      </x:c>
      <x:c r="O197" s="56" t="n">
        <x:v>552.4349545811699</x:v>
      </x:c>
      <x:c r="P197" s="56" t="n">
        <x:v>0</x:v>
      </x:c>
      <x:c r="Q197" s="56" t="n">
        <x:v>3179.44141657437</x:v>
      </x:c>
      <x:c r="R197" s="68" t="n">
        <x:f>IFERROR(K197/I197,0)</x:f>
        <x:v>0.5714285714285714</x:v>
      </x:c>
      <x:c r="S197" s="60" t="n">
        <x:f>K197*L197</x:f>
        <x:v>52944.88888637814</x:v>
      </x:c>
      <x:c r="T197" s="60" t="n">
        <x:f>S197*H197</x:f>
        <x:v>10704.880964112013</x:v>
      </x:c>
      <x:c r="U197" s="60" t="n">
        <x:f>K197*G197</x:f>
        <x:v>22166.23088406768</x:v>
      </x:c>
      <x:c r="V197" s="60" t="n">
        <x:f>S197-T197-M197-N197-O197-P197-Q197-U197</x:f>
        <x:v>10959.146493662683</x:v>
      </x:c>
      <x:c r="W197" s="68" t="n">
        <x:f>IFERROR(V197/S197,0)</x:f>
        <x:v>0.206991585480167</x:v>
      </x:c>
      <x:c r="X197" s="72" t="n">
        <x:f>IFERROR(S197/Q197,0)</x:f>
        <x:v>16.652261183482544</x:v>
      </x:c>
      <x:c r="Y197" s="30" t="str">
        <x:v>Моделируемые данные Unitmetra</x:v>
      </x:c>
    </x:row>
    <x:row r="198">
      <x:c r="A198" s="48" t="str">
        <x:v>2026-01</x:v>
      </x:c>
      <x:c r="B198" s="48" t="str">
        <x:v>UM-033</x:v>
      </x:c>
      <x:c r="C198" s="48" t="str">
        <x:v>Широкие костюмные</x:v>
      </x:c>
      <x:c r="D198" s="48" t="str">
        <x:v>Брюки</x:v>
      </x:c>
      <x:c r="E198" s="56" t="n">
        <x:v>2900</x:v>
      </x:c>
      <x:c r="F198" s="64" t="n">
        <x:v>0.31796934868992444</x:v>
      </x:c>
      <x:c r="G198" s="56" t="n">
        <x:v>791.6511030024172</x:v>
      </x:c>
      <x:c r="H198" s="64" t="n">
        <x:v>0.20218912890883797</x:v>
      </x:c>
      <x:c r="I198" s="56" t="n">
        <x:v>33</x:v>
      </x:c>
      <x:c r="J198" s="56" t="n">
        <x:v>14</x:v>
      </x:c>
      <x:c r="K198" s="56" t="n">
        <x:v>19</x:v>
      </x:c>
      <x:c r="L198" s="56" t="n">
        <x:v>1977.888888799219</x:v>
      </x:c>
      <x:c r="M198" s="56" t="n">
        <x:v>3100.4960607012445</x:v>
      </x:c>
      <x:c r="N198" s="56" t="n">
        <x:v>1071.035735068716</x:v>
      </x:c>
      <x:c r="O198" s="56" t="n">
        <x:v>705.0823356159747</x:v>
      </x:c>
      <x:c r="P198" s="56" t="n">
        <x:v>0</x:v>
      </x:c>
      <x:c r="Q198" s="56" t="n">
        <x:v>1749.3221053215943</x:v>
      </x:c>
      <x:c r="R198" s="68" t="n">
        <x:f>IFERROR(K198/I198,0)</x:f>
        <x:v>0.5757575757575758</x:v>
      </x:c>
      <x:c r="S198" s="60" t="n">
        <x:f>K198*L198</x:f>
        <x:v>37579.88888718516</x:v>
      </x:c>
      <x:c r="T198" s="60" t="n">
        <x:f>S198*H198</x:f>
        <x:v>7598.244998590888</x:v>
      </x:c>
      <x:c r="U198" s="60" t="n">
        <x:f>K198*G198</x:f>
        <x:v>15041.370957045927</x:v>
      </x:c>
      <x:c r="V198" s="60" t="n">
        <x:f>S198-T198-M198-N198-O198-P198-Q198-U198</x:f>
        <x:v>8314.336694840817</x:v>
      </x:c>
      <x:c r="W198" s="68" t="n">
        <x:f>IFERROR(V198/S198,0)</x:f>
        <x:v>0.22124431287704066</x:v>
      </x:c>
      <x:c r="X198" s="72" t="n">
        <x:f>IFERROR(S198/Q198,0)</x:f>
        <x:v>21.48254387963416</x:v>
      </x:c>
      <x:c r="Y198" s="30" t="str">
        <x:v>Моделируемые данные Unitmetra</x:v>
      </x:c>
    </x:row>
    <x:row r="199">
      <x:c r="A199" s="48" t="str">
        <x:v>2026-02</x:v>
      </x:c>
      <x:c r="B199" s="48" t="str">
        <x:v>UM-033</x:v>
      </x:c>
      <x:c r="C199" s="48" t="str">
        <x:v>Широкие костюмные</x:v>
      </x:c>
      <x:c r="D199" s="48" t="str">
        <x:v>Брюки</x:v>
      </x:c>
      <x:c r="E199" s="56" t="n">
        <x:v>2900</x:v>
      </x:c>
      <x:c r="F199" s="64" t="n">
        <x:v>0.2979693486899244</x:v>
      </x:c>
      <x:c r="G199" s="56" t="n">
        <x:v>791.6511030024172</x:v>
      </x:c>
      <x:c r="H199" s="64" t="n">
        <x:v>0.20218912890883797</x:v>
      </x:c>
      <x:c r="I199" s="56" t="n">
        <x:v>35</x:v>
      </x:c>
      <x:c r="J199" s="56" t="n">
        <x:v>14</x:v>
      </x:c>
      <x:c r="K199" s="56" t="n">
        <x:v>21</x:v>
      </x:c>
      <x:c r="L199" s="56" t="n">
        <x:v>2035.888888799219</x:v>
      </x:c>
      <x:c r="M199" s="56" t="n">
        <x:v>3279.710414447097</x:v>
      </x:c>
      <x:c r="N199" s="56" t="n">
        <x:v>786.3713385656746</x:v>
      </x:c>
      <x:c r="O199" s="56" t="n">
        <x:v>337.64542994525726</x:v>
      </x:c>
      <x:c r="P199" s="56" t="n">
        <x:v>0</x:v>
      </x:c>
      <x:c r="Q199" s="56" t="n">
        <x:v>1812.6713626417438</x:v>
      </x:c>
      <x:c r="R199" s="68" t="n">
        <x:f>IFERROR(K199/I199,0)</x:f>
        <x:v>0.6</x:v>
      </x:c>
      <x:c r="S199" s="60" t="n">
        <x:f>K199*L199</x:f>
        <x:v>42753.6666647836</x:v>
      </x:c>
      <x:c r="T199" s="60" t="n">
        <x:f>S199*H199</x:f>
        <x:v>8644.32662061142</x:v>
      </x:c>
      <x:c r="U199" s="60" t="n">
        <x:f>K199*G199</x:f>
        <x:v>16624.673163050764</x:v>
      </x:c>
      <x:c r="V199" s="60" t="n">
        <x:f>S199-T199-M199-N199-O199-P199-Q199-U199</x:f>
        <x:v>11268.268335521647</x:v>
      </x:c>
      <x:c r="W199" s="68" t="n">
        <x:f>IFERROR(V199/S199,0)</x:f>
        <x:v>0.2635626184736892</x:v>
      </x:c>
      <x:c r="X199" s="72" t="n">
        <x:f>IFERROR(S199/Q199,0)</x:f>
        <x:v>23.58599994787551</x:v>
      </x:c>
      <x:c r="Y199" s="30" t="str">
        <x:v>Моделируемые данные Unitmetra</x:v>
      </x:c>
    </x:row>
    <x:row r="200">
      <x:c r="A200" s="48" t="str">
        <x:v>2025-09</x:v>
      </x:c>
      <x:c r="B200" s="48" t="str">
        <x:v>UM-034</x:v>
      </x:c>
      <x:c r="C200" s="48" t="str">
        <x:v>Брюки из экокожи</x:v>
      </x:c>
      <x:c r="D200" s="48" t="str">
        <x:v>Брюки</x:v>
      </x:c>
      <x:c r="E200" s="56" t="n">
        <x:v>3200</x:v>
      </x:c>
      <x:c r="F200" s="64" t="n">
        <x:v>0.2945971059429091</x:v>
      </x:c>
      <x:c r="G200" s="56" t="n">
        <x:v>1092.8803404419991</x:v>
      </x:c>
      <x:c r="H200" s="64" t="n">
        <x:v>0.20815263204645398</x:v>
      </x:c>
      <x:c r="I200" s="56" t="n">
        <x:v>52</x:v>
      </x:c>
      <x:c r="J200" s="56" t="n">
        <x:v>21</x:v>
      </x:c>
      <x:c r="K200" s="56" t="n">
        <x:v>31</x:v>
      </x:c>
      <x:c r="L200" s="56" t="n">
        <x:v>2257.289260982691</x:v>
      </x:c>
      <x:c r="M200" s="56" t="n">
        <x:v>6108.767159312383</x:v>
      </x:c>
      <x:c r="N200" s="56" t="n">
        <x:v>1537.115223257005</x:v>
      </x:c>
      <x:c r="O200" s="56" t="n">
        <x:v>1376.9753256806932</x:v>
      </x:c>
      <x:c r="P200" s="56" t="n">
        <x:v>0</x:v>
      </x:c>
      <x:c r="Q200" s="56" t="n">
        <x:v>6064.21056418134</x:v>
      </x:c>
      <x:c r="R200" s="68" t="n">
        <x:f>IFERROR(K200/I200,0)</x:f>
        <x:v>0.5961538461538461</x:v>
      </x:c>
      <x:c r="S200" s="60" t="n">
        <x:f>K200*L200</x:f>
        <x:v>69975.96709046341</x:v>
      </x:c>
      <x:c r="T200" s="60" t="n">
        <x:f>S200*H200</x:f>
        <x:v>14565.681729876003</x:v>
      </x:c>
      <x:c r="U200" s="60" t="n">
        <x:f>K200*G200</x:f>
        <x:v>33879.290553701976</x:v>
      </x:c>
      <x:c r="V200" s="60" t="n">
        <x:f>S200-T200-M200-N200-O200-P200-Q200-U200</x:f>
        <x:v>6443.926534454018</x:v>
      </x:c>
      <x:c r="W200" s="68" t="n">
        <x:f>IFERROR(V200/S200,0)</x:f>
        <x:v>0.09208770957210852</x:v>
      </x:c>
      <x:c r="X200" s="72" t="n">
        <x:f>IFERROR(S200/Q200,0)</x:f>
        <x:v>11.539171727278251</x:v>
      </x:c>
      <x:c r="Y200" s="30" t="str">
        <x:v>Моделируемые данные Unitmetra</x:v>
      </x:c>
    </x:row>
    <x:row r="201">
      <x:c r="A201" s="48" t="str">
        <x:v>2025-10</x:v>
      </x:c>
      <x:c r="B201" s="48" t="str">
        <x:v>UM-034</x:v>
      </x:c>
      <x:c r="C201" s="48" t="str">
        <x:v>Брюки из экокожи</x:v>
      </x:c>
      <x:c r="D201" s="48" t="str">
        <x:v>Брюки</x:v>
      </x:c>
      <x:c r="E201" s="56" t="n">
        <x:v>3200</x:v>
      </x:c>
      <x:c r="F201" s="64" t="n">
        <x:v>0.3045971059429091</x:v>
      </x:c>
      <x:c r="G201" s="56" t="n">
        <x:v>1092.8803404419991</x:v>
      </x:c>
      <x:c r="H201" s="64" t="n">
        <x:v>0.20815263204645398</x:v>
      </x:c>
      <x:c r="I201" s="56" t="n">
        <x:v>56</x:v>
      </x:c>
      <x:c r="J201" s="56" t="n">
        <x:v>22</x:v>
      </x:c>
      <x:c r="K201" s="56" t="n">
        <x:v>34</x:v>
      </x:c>
      <x:c r="L201" s="56" t="n">
        <x:v>2225.289260982691</x:v>
      </x:c>
      <x:c r="M201" s="56" t="n">
        <x:v>5674.4795740230265</x:v>
      </x:c>
      <x:c r="N201" s="56" t="n">
        <x:v>1327.4222422754553</x:v>
      </x:c>
      <x:c r="O201" s="56" t="n">
        <x:v>639.4028256331476</x:v>
      </x:c>
      <x:c r="P201" s="56" t="n">
        <x:v>0</x:v>
      </x:c>
      <x:c r="Q201" s="56" t="n">
        <x:v>7623.996656517456</x:v>
      </x:c>
      <x:c r="R201" s="68" t="n">
        <x:f>IFERROR(K201/I201,0)</x:f>
        <x:v>0.6071428571428571</x:v>
      </x:c>
      <x:c r="S201" s="60" t="n">
        <x:f>K201*L201</x:f>
        <x:v>75659.83487341148</x:v>
      </x:c>
      <x:c r="T201" s="60" t="n">
        <x:f>S201*H201</x:f>
        <x:v>15748.793769100688</x:v>
      </x:c>
      <x:c r="U201" s="60" t="n">
        <x:f>K201*G201</x:f>
        <x:v>37157.93157502797</x:v>
      </x:c>
      <x:c r="V201" s="60" t="n">
        <x:f>S201-T201-M201-N201-O201-P201-Q201-U201</x:f>
        <x:v>7487.80823083374</x:v>
      </x:c>
      <x:c r="W201" s="68" t="n">
        <x:f>IFERROR(V201/S201,0)</x:f>
        <x:v>0.09896675354052509</x:v>
      </x:c>
      <x:c r="X201" s="72" t="n">
        <x:f>IFERROR(S201/Q201,0)</x:f>
        <x:v>9.923907142421534</x:v>
      </x:c>
      <x:c r="Y201" s="30" t="str">
        <x:v>Моделируемые данные Unitmetra</x:v>
      </x:c>
    </x:row>
    <x:row r="202">
      <x:c r="A202" s="48" t="str">
        <x:v>2025-11</x:v>
      </x:c>
      <x:c r="B202" s="48" t="str">
        <x:v>UM-034</x:v>
      </x:c>
      <x:c r="C202" s="48" t="str">
        <x:v>Брюки из экокожи</x:v>
      </x:c>
      <x:c r="D202" s="48" t="str">
        <x:v>Брюки</x:v>
      </x:c>
      <x:c r="E202" s="56" t="n">
        <x:v>3200</x:v>
      </x:c>
      <x:c r="F202" s="64" t="n">
        <x:v>0.33459710594290915</x:v>
      </x:c>
      <x:c r="G202" s="56" t="n">
        <x:v>1092.8803404419991</x:v>
      </x:c>
      <x:c r="H202" s="64" t="n">
        <x:v>0.20815263204645398</x:v>
      </x:c>
      <x:c r="I202" s="56" t="n">
        <x:v>64</x:v>
      </x:c>
      <x:c r="J202" s="56" t="n">
        <x:v>22</x:v>
      </x:c>
      <x:c r="K202" s="56" t="n">
        <x:v>42</x:v>
      </x:c>
      <x:c r="L202" s="56" t="n">
        <x:v>2129.289260982691</x:v>
      </x:c>
      <x:c r="M202" s="56" t="n">
        <x:v>5735.037307595883</x:v>
      </x:c>
      <x:c r="N202" s="56" t="n">
        <x:v>1390.77807127999</x:v>
      </x:c>
      <x:c r="O202" s="56" t="n">
        <x:v>556.1132615037441</x:v>
      </x:c>
      <x:c r="P202" s="56" t="n">
        <x:v>0</x:v>
      </x:c>
      <x:c r="Q202" s="56" t="n">
        <x:v>8280.720001443384</x:v>
      </x:c>
      <x:c r="R202" s="68" t="n">
        <x:f>IFERROR(K202/I202,0)</x:f>
        <x:v>0.65625</x:v>
      </x:c>
      <x:c r="S202" s="60" t="n">
        <x:f>K202*L202</x:f>
        <x:v>89430.14896127302</x:v>
      </x:c>
      <x:c r="T202" s="60" t="n">
        <x:f>S202*H202</x:f>
        <x:v>18615.120890595434</x:v>
      </x:c>
      <x:c r="U202" s="60" t="n">
        <x:f>K202*G202</x:f>
        <x:v>45900.97429856396</x:v>
      </x:c>
      <x:c r="V202" s="60" t="n">
        <x:f>S202-T202-M202-N202-O202-P202-Q202-U202</x:f>
        <x:v>8951.405130290637</x:v>
      </x:c>
      <x:c r="W202" s="68" t="n">
        <x:f>IFERROR(V202/S202,0)</x:f>
        <x:v>0.10009381885483573</x:v>
      </x:c>
      <x:c r="X202" s="72" t="n">
        <x:f>IFERROR(S202/Q202,0)</x:f>
        <x:v>10.799803512941478</x:v>
      </x:c>
      <x:c r="Y202" s="30" t="str">
        <x:v>Моделируемые данные Unitmetra</x:v>
      </x:c>
    </x:row>
    <x:row r="203">
      <x:c r="A203" s="48" t="str">
        <x:v>2025-12</x:v>
      </x:c>
      <x:c r="B203" s="48" t="str">
        <x:v>UM-034</x:v>
      </x:c>
      <x:c r="C203" s="48" t="str">
        <x:v>Брюки из экокожи</x:v>
      </x:c>
      <x:c r="D203" s="48" t="str">
        <x:v>Брюки</x:v>
      </x:c>
      <x:c r="E203" s="56" t="n">
        <x:v>3200</x:v>
      </x:c>
      <x:c r="F203" s="64" t="n">
        <x:v>0.35459710594290916</x:v>
      </x:c>
      <x:c r="G203" s="56" t="n">
        <x:v>1092.8803404419991</x:v>
      </x:c>
      <x:c r="H203" s="64" t="n">
        <x:v>0.20815263204645398</x:v>
      </x:c>
      <x:c r="I203" s="56" t="n">
        <x:v>57</x:v>
      </x:c>
      <x:c r="J203" s="56" t="n">
        <x:v>22</x:v>
      </x:c>
      <x:c r="K203" s="56" t="n">
        <x:v>35</x:v>
      </x:c>
      <x:c r="L203" s="56" t="n">
        <x:v>2065.289260982691</x:v>
      </x:c>
      <x:c r="M203" s="56" t="n">
        <x:v>4764.587313250053</x:v>
      </x:c>
      <x:c r="N203" s="56" t="n">
        <x:v>1226.635265103267</x:v>
      </x:c>
      <x:c r="O203" s="56" t="n">
        <x:v>1419.3165529944818</x:v>
      </x:c>
      <x:c r="P203" s="56" t="n">
        <x:v>0</x:v>
      </x:c>
      <x:c r="Q203" s="56" t="n">
        <x:v>5905.8921758832785</x:v>
      </x:c>
      <x:c r="R203" s="68" t="n">
        <x:f>IFERROR(K203/I203,0)</x:f>
        <x:v>0.6140350877192983</x:v>
      </x:c>
      <x:c r="S203" s="60" t="n">
        <x:f>K203*L203</x:f>
        <x:v>72285.12413439418</x:v>
      </x:c>
      <x:c r="T203" s="60" t="n">
        <x:f>S203*H203</x:f>
        <x:v>15046.338846378801</x:v>
      </x:c>
      <x:c r="U203" s="60" t="n">
        <x:f>K203*G203</x:f>
        <x:v>38250.81191546997</x:v>
      </x:c>
      <x:c r="V203" s="60" t="n">
        <x:f>S203-T203-M203-N203-O203-P203-Q203-U203</x:f>
        <x:v>5671.54206531433</x:v>
      </x:c>
      <x:c r="W203" s="68" t="n">
        <x:f>IFERROR(V203/S203,0)</x:f>
        <x:v>0.07846070866212622</x:v>
      </x:c>
      <x:c r="X203" s="72" t="n">
        <x:f>IFERROR(S203/Q203,0)</x:f>
        <x:v>12.239492693342864</x:v>
      </x:c>
      <x:c r="Y203" s="30" t="str">
        <x:v>Моделируемые данные Unitmetra</x:v>
      </x:c>
    </x:row>
    <x:row r="204">
      <x:c r="A204" s="48" t="str">
        <x:v>2026-01</x:v>
      </x:c>
      <x:c r="B204" s="48" t="str">
        <x:v>UM-034</x:v>
      </x:c>
      <x:c r="C204" s="48" t="str">
        <x:v>Брюки из экокожи</x:v>
      </x:c>
      <x:c r="D204" s="48" t="str">
        <x:v>Брюки</x:v>
      </x:c>
      <x:c r="E204" s="56" t="n">
        <x:v>3200</x:v>
      </x:c>
      <x:c r="F204" s="64" t="n">
        <x:v>0.32459710594290914</x:v>
      </x:c>
      <x:c r="G204" s="56" t="n">
        <x:v>1092.8803404419991</x:v>
      </x:c>
      <x:c r="H204" s="64" t="n">
        <x:v>0.20815263204645398</x:v>
      </x:c>
      <x:c r="I204" s="56" t="n">
        <x:v>43</x:v>
      </x:c>
      <x:c r="J204" s="56" t="n">
        <x:v>16</x:v>
      </x:c>
      <x:c r="K204" s="56" t="n">
        <x:v>27</x:v>
      </x:c>
      <x:c r="L204" s="56" t="n">
        <x:v>2161.289260982691</x:v>
      </x:c>
      <x:c r="M204" s="56" t="n">
        <x:v>3981.080298741649</x:v>
      </x:c>
      <x:c r="N204" s="56" t="n">
        <x:v>1251.490930546075</x:v>
      </x:c>
      <x:c r="O204" s="56" t="n">
        <x:v>1428.3080827678668</x:v>
      </x:c>
      <x:c r="P204" s="56" t="n">
        <x:v>0</x:v>
      </x:c>
      <x:c r="Q204" s="56" t="n">
        <x:v>5476.117070477052</x:v>
      </x:c>
      <x:c r="R204" s="68" t="n">
        <x:f>IFERROR(K204/I204,0)</x:f>
        <x:v>0.627906976744186</x:v>
      </x:c>
      <x:c r="S204" s="60" t="n">
        <x:f>K204*L204</x:f>
        <x:v>58354.81004653265</x:v>
      </x:c>
      <x:c r="T204" s="60" t="n">
        <x:f>S204*H204</x:f>
        <x:v>12146.707303756626</x:v>
      </x:c>
      <x:c r="U204" s="60" t="n">
        <x:f>K204*G204</x:f>
        <x:v>29507.769191933978</x:v>
      </x:c>
      <x:c r="V204" s="60" t="n">
        <x:f>S204-T204-M204-N204-O204-P204-Q204-U204</x:f>
        <x:v>4563.337168309408</x:v>
      </x:c>
      <x:c r="W204" s="68" t="n">
        <x:f>IFERROR(V204/S204,0)</x:f>
        <x:v>0.07819984615956357</x:v>
      </x:c>
      <x:c r="X204" s="72" t="n">
        <x:f>IFERROR(S204/Q204,0)</x:f>
        <x:v>10.656238589407854</x:v>
      </x:c>
      <x:c r="Y204" s="30" t="str">
        <x:v>Моделируемые данные Unitmetra</x:v>
      </x:c>
    </x:row>
    <x:row r="205">
      <x:c r="A205" s="48" t="str">
        <x:v>2026-02</x:v>
      </x:c>
      <x:c r="B205" s="48" t="str">
        <x:v>UM-034</x:v>
      </x:c>
      <x:c r="C205" s="48" t="str">
        <x:v>Брюки из экокожи</x:v>
      </x:c>
      <x:c r="D205" s="48" t="str">
        <x:v>Брюки</x:v>
      </x:c>
      <x:c r="E205" s="56" t="n">
        <x:v>3200</x:v>
      </x:c>
      <x:c r="F205" s="64" t="n">
        <x:v>0.3045971059429091</x:v>
      </x:c>
      <x:c r="G205" s="56" t="n">
        <x:v>1092.8803404419991</x:v>
      </x:c>
      <x:c r="H205" s="64" t="n">
        <x:v>0.20815263204645398</x:v>
      </x:c>
      <x:c r="I205" s="56" t="n">
        <x:v>46</x:v>
      </x:c>
      <x:c r="J205" s="56" t="n">
        <x:v>19</x:v>
      </x:c>
      <x:c r="K205" s="56" t="n">
        <x:v>27</x:v>
      </x:c>
      <x:c r="L205" s="56" t="n">
        <x:v>2225.289260982691</x:v>
      </x:c>
      <x:c r="M205" s="56" t="n">
        <x:v>4247.56570539586</x:v>
      </x:c>
      <x:c r="N205" s="56" t="n">
        <x:v>1574.6680790835055</x:v>
      </x:c>
      <x:c r="O205" s="56" t="n">
        <x:v>1456.6511255123912</x:v>
      </x:c>
      <x:c r="P205" s="56" t="n">
        <x:v>32.17614677591284</x:v>
      </x:c>
      <x:c r="Q205" s="56" t="n">
        <x:v>4555.028669522691</x:v>
      </x:c>
      <x:c r="R205" s="68" t="n">
        <x:f>IFERROR(K205/I205,0)</x:f>
        <x:v>0.5869565217391305</x:v>
      </x:c>
      <x:c r="S205" s="60" t="n">
        <x:f>K205*L205</x:f>
        <x:v>60082.81004653265</x:v>
      </x:c>
      <x:c r="T205" s="60" t="n">
        <x:f>S205*H205</x:f>
        <x:v>12506.3950519329</x:v>
      </x:c>
      <x:c r="U205" s="60" t="n">
        <x:f>K205*G205</x:f>
        <x:v>29507.769191933978</x:v>
      </x:c>
      <x:c r="V205" s="60" t="n">
        <x:f>S205-T205-M205-N205-O205-P205-Q205-U205</x:f>
        <x:v>6202.556076375411</x:v>
      </x:c>
      <x:c r="W205" s="68" t="n">
        <x:f>IFERROR(V205/S205,0)</x:f>
        <x:v>0.10323345515250842</x:v>
      </x:c>
      <x:c r="X205" s="72" t="n">
        <x:f>IFERROR(S205/Q205,0)</x:f>
        <x:v>13.190435100560752</x:v>
      </x:c>
      <x:c r="Y205" s="30" t="str">
        <x:v>Моделируемые данные Unitmetra</x:v>
      </x:c>
    </x:row>
    <x:row r="206">
      <x:c r="A206" s="48" t="str">
        <x:v>2025-09</x:v>
      </x:c>
      <x:c r="B206" s="48" t="str">
        <x:v>UM-035</x:v>
      </x:c>
      <x:c r="C206" s="48" t="str">
        <x:v>Водолазка</x:v>
      </x:c>
      <x:c r="D206" s="48" t="str">
        <x:v>Трикотаж</x:v>
      </x:c>
      <x:c r="E206" s="56" t="n">
        <x:v>2000</x:v>
      </x:c>
      <x:c r="F206" s="64" t="n">
        <x:v>0.1574630394825176</x:v>
      </x:c>
      <x:c r="G206" s="56" t="n">
        <x:v>739.0628675718567</x:v>
      </x:c>
      <x:c r="H206" s="64" t="n">
        <x:v>0.18814242596882516</x:v>
      </x:c>
      <x:c r="I206" s="56" t="n">
        <x:v>39</x:v>
      </x:c>
      <x:c r="J206" s="56" t="n">
        <x:v>12</x:v>
      </x:c>
      <x:c r="K206" s="56" t="n">
        <x:v>27</x:v>
      </x:c>
      <x:c r="L206" s="56" t="n">
        <x:v>1685.0739210349648</x:v>
      </x:c>
      <x:c r="M206" s="56" t="n">
        <x:v>4059.7599948226584</x:v>
      </x:c>
      <x:c r="N206" s="56" t="n">
        <x:v>968.4697410899654</x:v>
      </x:c>
      <x:c r="O206" s="56" t="n">
        <x:v>573.7883196317697</x:v>
      </x:c>
      <x:c r="P206" s="56" t="n">
        <x:v>181.96836864242528</x:v>
      </x:c>
      <x:c r="Q206" s="56" t="n">
        <x:v>3374.856551297493</x:v>
      </x:c>
      <x:c r="R206" s="68" t="n">
        <x:f>IFERROR(K206/I206,0)</x:f>
        <x:v>0.6923076923076923</x:v>
      </x:c>
      <x:c r="S206" s="60" t="n">
        <x:f>K206*L206</x:f>
        <x:v>45496.995867944046</x:v>
      </x:c>
      <x:c r="T206" s="60" t="n">
        <x:f>S206*H206</x:f>
        <x:v>8559.915176888608</x:v>
      </x:c>
      <x:c r="U206" s="60" t="n">
        <x:f>K206*G206</x:f>
        <x:v>19954.69742444013</x:v>
      </x:c>
      <x:c r="V206" s="60" t="n">
        <x:f>S206-T206-M206-N206-O206-P206-Q206-U206</x:f>
        <x:v>7823.5402911309975</x:v>
      </x:c>
      <x:c r="W206" s="68" t="n">
        <x:f>IFERROR(V206/S206,0)</x:f>
        <x:v>0.1719572939241743</x:v>
      </x:c>
      <x:c r="X206" s="72" t="n">
        <x:f>IFERROR(S206/Q206,0)</x:f>
        <x:v>13.481164362512633</x:v>
      </x:c>
      <x:c r="Y206" s="30" t="str">
        <x:v>Моделируемые данные Unitmetra</x:v>
      </x:c>
    </x:row>
    <x:row r="207">
      <x:c r="A207" s="48" t="str">
        <x:v>2025-10</x:v>
      </x:c>
      <x:c r="B207" s="48" t="str">
        <x:v>UM-035</x:v>
      </x:c>
      <x:c r="C207" s="48" t="str">
        <x:v>Водолазка</x:v>
      </x:c>
      <x:c r="D207" s="48" t="str">
        <x:v>Трикотаж</x:v>
      </x:c>
      <x:c r="E207" s="56" t="n">
        <x:v>2000</x:v>
      </x:c>
      <x:c r="F207" s="64" t="n">
        <x:v>0.16746303948251762</x:v>
      </x:c>
      <x:c r="G207" s="56" t="n">
        <x:v>739.0628675718567</x:v>
      </x:c>
      <x:c r="H207" s="64" t="n">
        <x:v>0.18814242596882516</x:v>
      </x:c>
      <x:c r="I207" s="56" t="n">
        <x:v>51</x:v>
      </x:c>
      <x:c r="J207" s="56" t="n">
        <x:v>16</x:v>
      </x:c>
      <x:c r="K207" s="56" t="n">
        <x:v>35</x:v>
      </x:c>
      <x:c r="L207" s="56" t="n">
        <x:v>1665.0739210349648</x:v>
      </x:c>
      <x:c r="M207" s="56" t="n">
        <x:v>5873.999936314878</x:v>
      </x:c>
      <x:c r="N207" s="56" t="n">
        <x:v>1009.7636658532667</x:v>
      </x:c>
      <x:c r="O207" s="56" t="n">
        <x:v>620.6320386618854</x:v>
      </x:c>
      <x:c r="P207" s="56" t="n">
        <x:v>0</x:v>
      </x:c>
      <x:c r="Q207" s="56" t="n">
        <x:v>4854.338420443554</x:v>
      </x:c>
      <x:c r="R207" s="68" t="n">
        <x:f>IFERROR(K207/I207,0)</x:f>
        <x:v>0.6862745098039216</x:v>
      </x:c>
      <x:c r="S207" s="60" t="n">
        <x:f>K207*L207</x:f>
        <x:v>58277.587236223764</x:v>
      </x:c>
      <x:c r="T207" s="60" t="n">
        <x:f>S207*H207</x:f>
        <x:v>10964.48664223298</x:v>
      </x:c>
      <x:c r="U207" s="60" t="n">
        <x:f>K207*G207</x:f>
        <x:v>25867.200365014985</x:v>
      </x:c>
      <x:c r="V207" s="60" t="n">
        <x:f>S207-T207-M207-N207-O207-P207-Q207-U207</x:f>
        <x:v>9087.16616770222</x:v>
      </x:c>
      <x:c r="W207" s="68" t="n">
        <x:f>IFERROR(V207/S207,0)</x:f>
        <x:v>0.15592900459087441</x:v>
      </x:c>
      <x:c r="X207" s="72" t="n">
        <x:f>IFERROR(S207/Q207,0)</x:f>
        <x:v>12.005258428376894</x:v>
      </x:c>
      <x:c r="Y207" s="30" t="str">
        <x:v>Моделируемые данные Unitmetra</x:v>
      </x:c>
    </x:row>
    <x:row r="208">
      <x:c r="A208" s="48" t="str">
        <x:v>2025-11</x:v>
      </x:c>
      <x:c r="B208" s="48" t="str">
        <x:v>UM-035</x:v>
      </x:c>
      <x:c r="C208" s="48" t="str">
        <x:v>Водолазка</x:v>
      </x:c>
      <x:c r="D208" s="48" t="str">
        <x:v>Трикотаж</x:v>
      </x:c>
      <x:c r="E208" s="56" t="n">
        <x:v>2000</x:v>
      </x:c>
      <x:c r="F208" s="64" t="n">
        <x:v>0.19746303948251764</x:v>
      </x:c>
      <x:c r="G208" s="56" t="n">
        <x:v>739.0628675718567</x:v>
      </x:c>
      <x:c r="H208" s="64" t="n">
        <x:v>0.18814242596882516</x:v>
      </x:c>
      <x:c r="I208" s="56" t="n">
        <x:v>63</x:v>
      </x:c>
      <x:c r="J208" s="56" t="n">
        <x:v>21</x:v>
      </x:c>
      <x:c r="K208" s="56" t="n">
        <x:v>42</x:v>
      </x:c>
      <x:c r="L208" s="56" t="n">
        <x:v>1605.0739210349648</x:v>
      </x:c>
      <x:c r="M208" s="56" t="n">
        <x:v>6306.751898486088</x:v>
      </x:c>
      <x:c r="N208" s="56" t="n">
        <x:v>1250.6350918396638</x:v>
      </x:c>
      <x:c r="O208" s="56" t="n">
        <x:v>755.6223514543302</x:v>
      </x:c>
      <x:c r="P208" s="56" t="n">
        <x:v>0</x:v>
      </x:c>
      <x:c r="Q208" s="56" t="n">
        <x:v>6823.532682050166</x:v>
      </x:c>
      <x:c r="R208" s="68" t="n">
        <x:f>IFERROR(K208/I208,0)</x:f>
        <x:v>0.6666666666666666</x:v>
      </x:c>
      <x:c r="S208" s="60" t="n">
        <x:f>K208*L208</x:f>
        <x:v>67413.10468346853</x:v>
      </x:c>
      <x:c r="T208" s="60" t="n">
        <x:f>S208*H208</x:f>
        <x:v>12683.265057238137</x:v>
      </x:c>
      <x:c r="U208" s="60" t="n">
        <x:f>K208*G208</x:f>
        <x:v>31040.64043801798</x:v>
      </x:c>
      <x:c r="V208" s="60" t="n">
        <x:f>S208-T208-M208-N208-O208-P208-Q208-U208</x:f>
        <x:v>8552.657164382159</x:v>
      </x:c>
      <x:c r="W208" s="68" t="n">
        <x:f>IFERROR(V208/S208,0)</x:f>
        <x:v>0.12686935581056982</x:v>
      </x:c>
      <x:c r="X208" s="72" t="n">
        <x:f>IFERROR(S208/Q208,0)</x:f>
        <x:v>9.879501985944017</x:v>
      </x:c>
      <x:c r="Y208" s="30" t="str">
        <x:v>Моделируемые данные Unitmetra</x:v>
      </x:c>
    </x:row>
    <x:row r="209">
      <x:c r="A209" s="48" t="str">
        <x:v>2025-12</x:v>
      </x:c>
      <x:c r="B209" s="48" t="str">
        <x:v>UM-035</x:v>
      </x:c>
      <x:c r="C209" s="48" t="str">
        <x:v>Водолазка</x:v>
      </x:c>
      <x:c r="D209" s="48" t="str">
        <x:v>Трикотаж</x:v>
      </x:c>
      <x:c r="E209" s="56" t="n">
        <x:v>2000</x:v>
      </x:c>
      <x:c r="F209" s="64" t="n">
        <x:v>0.21746303948251755</x:v>
      </x:c>
      <x:c r="G209" s="56" t="n">
        <x:v>739.0628675718567</x:v>
      </x:c>
      <x:c r="H209" s="64" t="n">
        <x:v>0.18814242596882516</x:v>
      </x:c>
      <x:c r="I209" s="56" t="n">
        <x:v>74</x:v>
      </x:c>
      <x:c r="J209" s="56" t="n">
        <x:v>30</x:v>
      </x:c>
      <x:c r="K209" s="56" t="n">
        <x:v>44</x:v>
      </x:c>
      <x:c r="L209" s="56" t="n">
        <x:v>1565.073921034965</x:v>
      </x:c>
      <x:c r="M209" s="56" t="n">
        <x:v>8242.77718172</x:v>
      </x:c>
      <x:c r="N209" s="56" t="n">
        <x:v>2520.8337233977254</x:v>
      </x:c>
      <x:c r="O209" s="56" t="n">
        <x:v>534.8998910829547</x:v>
      </x:c>
      <x:c r="P209" s="56" t="n">
        <x:v>107.9064819822931</x:v>
      </x:c>
      <x:c r="Q209" s="56" t="n">
        <x:v>5107.704337804661</x:v>
      </x:c>
      <x:c r="R209" s="68" t="n">
        <x:f>IFERROR(K209/I209,0)</x:f>
        <x:v>0.5945945945945946</x:v>
      </x:c>
      <x:c r="S209" s="60" t="n">
        <x:f>K209*L209</x:f>
        <x:v>68863.25252553845</x:v>
      </x:c>
      <x:c r="T209" s="60" t="n">
        <x:f>S209*H209</x:f>
        <x:v>12956.09939025863</x:v>
      </x:c>
      <x:c r="U209" s="60" t="n">
        <x:f>K209*G209</x:f>
        <x:v>32518.766173161697</x:v>
      </x:c>
      <x:c r="V209" s="60" t="n">
        <x:f>S209-T209-M209-N209-O209-P209-Q209-U209</x:f>
        <x:v>6874.265346130494</x:v>
      </x:c>
      <x:c r="W209" s="68" t="n">
        <x:f>IFERROR(V209/S209,0)</x:f>
        <x:v>0.0998248716698521</x:v>
      </x:c>
      <x:c r="X209" s="72" t="n">
        <x:f>IFERROR(S209/Q209,0)</x:f>
        <x:v>13.482231541055981</x:v>
      </x:c>
      <x:c r="Y209" s="30" t="str">
        <x:v>Моделируемые данные Unitmetra</x:v>
      </x:c>
    </x:row>
    <x:row r="210">
      <x:c r="A210" s="48" t="str">
        <x:v>2026-01</x:v>
      </x:c>
      <x:c r="B210" s="48" t="str">
        <x:v>UM-035</x:v>
      </x:c>
      <x:c r="C210" s="48" t="str">
        <x:v>Водолазка</x:v>
      </x:c>
      <x:c r="D210" s="48" t="str">
        <x:v>Трикотаж</x:v>
      </x:c>
      <x:c r="E210" s="56" t="n">
        <x:v>2000</x:v>
      </x:c>
      <x:c r="F210" s="64" t="n">
        <x:v>0.18746303948251763</x:v>
      </x:c>
      <x:c r="G210" s="56" t="n">
        <x:v>739.0628675718567</x:v>
      </x:c>
      <x:c r="H210" s="64" t="n">
        <x:v>0.18814242596882516</x:v>
      </x:c>
      <x:c r="I210" s="56" t="n">
        <x:v>49</x:v>
      </x:c>
      <x:c r="J210" s="56" t="n">
        <x:v>16</x:v>
      </x:c>
      <x:c r="K210" s="56" t="n">
        <x:v>33</x:v>
      </x:c>
      <x:c r="L210" s="56" t="n">
        <x:v>1625.0739210349648</x:v>
      </x:c>
      <x:c r="M210" s="56" t="n">
        <x:v>4145.7646644959505</x:v>
      </x:c>
      <x:c r="N210" s="56" t="n">
        <x:v>1150.6539536662308</x:v>
      </x:c>
      <x:c r="O210" s="56" t="n">
        <x:v>503.40510387329925</x:v>
      </x:c>
      <x:c r="P210" s="56" t="n">
        <x:v>0</x:v>
      </x:c>
      <x:c r="Q210" s="56" t="n">
        <x:v>4015.9237975066267</x:v>
      </x:c>
      <x:c r="R210" s="68" t="n">
        <x:f>IFERROR(K210/I210,0)</x:f>
        <x:v>0.673469387755102</x:v>
      </x:c>
      <x:c r="S210" s="60" t="n">
        <x:f>K210*L210</x:f>
        <x:v>53627.43939415384</x:v>
      </x:c>
      <x:c r="T210" s="60" t="n">
        <x:f>S210*H210</x:f>
        <x:v>10089.596546112247</x:v>
      </x:c>
      <x:c r="U210" s="60" t="n">
        <x:f>K210*G210</x:f>
        <x:v>24389.074629871273</x:v>
      </x:c>
      <x:c r="V210" s="60" t="n">
        <x:f>S210-T210-M210-N210-O210-P210-Q210-U210</x:f>
        <x:v>9333.020698628203</x:v>
      </x:c>
      <x:c r="W210" s="68" t="n">
        <x:f>IFERROR(V210/S210,0)</x:f>
        <x:v>0.17403442722729806</x:v>
      </x:c>
      <x:c r="X210" s="72" t="n">
        <x:f>IFERROR(S210/Q210,0)</x:f>
        <x:v>13.35369944704867</x:v>
      </x:c>
      <x:c r="Y210" s="30" t="str">
        <x:v>Моделируемые данные Unitmetra</x:v>
      </x:c>
    </x:row>
    <x:row r="211">
      <x:c r="A211" s="48" t="str">
        <x:v>2026-02</x:v>
      </x:c>
      <x:c r="B211" s="48" t="str">
        <x:v>UM-035</x:v>
      </x:c>
      <x:c r="C211" s="48" t="str">
        <x:v>Водолазка</x:v>
      </x:c>
      <x:c r="D211" s="48" t="str">
        <x:v>Трикотаж</x:v>
      </x:c>
      <x:c r="E211" s="56" t="n">
        <x:v>2000</x:v>
      </x:c>
      <x:c r="F211" s="64" t="n">
        <x:v>0.16746303948251762</x:v>
      </x:c>
      <x:c r="G211" s="56" t="n">
        <x:v>739.0628675718567</x:v>
      </x:c>
      <x:c r="H211" s="64" t="n">
        <x:v>0.18814242596882516</x:v>
      </x:c>
      <x:c r="I211" s="56" t="n">
        <x:v>44</x:v>
      </x:c>
      <x:c r="J211" s="56" t="n">
        <x:v>14</x:v>
      </x:c>
      <x:c r="K211" s="56" t="n">
        <x:v>30</x:v>
      </x:c>
      <x:c r="L211" s="56" t="n">
        <x:v>1665.0739210349648</x:v>
      </x:c>
      <x:c r="M211" s="56" t="n">
        <x:v>3975.0606335417824</x:v>
      </x:c>
      <x:c r="N211" s="56" t="n">
        <x:v>1048.4282696455068</x:v>
      </x:c>
      <x:c r="O211" s="56" t="n">
        <x:v>1381.2785238330177</x:v>
      </x:c>
      <x:c r="P211" s="56" t="n">
        <x:v>109.31035855568327</x:v>
      </x:c>
      <x:c r="Q211" s="56" t="n">
        <x:v>3683.4891363552147</x:v>
      </x:c>
      <x:c r="R211" s="68" t="n">
        <x:f>IFERROR(K211/I211,0)</x:f>
        <x:v>0.6818181818181818</x:v>
      </x:c>
      <x:c r="S211" s="60" t="n">
        <x:f>K211*L211</x:f>
        <x:v>49952.217631048945</x:v>
      </x:c>
      <x:c r="T211" s="60" t="n">
        <x:f>S211*H211</x:f>
        <x:v>9398.131407628269</x:v>
      </x:c>
      <x:c r="U211" s="60" t="n">
        <x:f>K211*G211</x:f>
        <x:v>22171.886027155702</x:v>
      </x:c>
      <x:c r="V211" s="60" t="n">
        <x:f>S211-T211-M211-N211-O211-P211-Q211-U211</x:f>
        <x:v>8184.633274333766</x:v>
      </x:c>
      <x:c r="W211" s="68" t="n">
        <x:f>IFERROR(V211/S211,0)</x:f>
        <x:v>0.16384924759068994</x:v>
      </x:c>
      <x:c r="X211" s="72" t="n">
        <x:f>IFERROR(S211/Q211,0)</x:f>
        <x:v>13.561114416771783</x:v>
      </x:c>
      <x:c r="Y211" s="30" t="str">
        <x:v>Моделируемые данные Unitmetra</x:v>
      </x:c>
    </x:row>
    <x:row r="212">
      <x:c r="A212" s="48" t="str">
        <x:v>2025-09</x:v>
      </x:c>
      <x:c r="B212" s="48" t="str">
        <x:v>UM-036</x:v>
      </x:c>
      <x:c r="C212" s="48" t="str">
        <x:v>Кардиган</x:v>
      </x:c>
      <x:c r="D212" s="48" t="str">
        <x:v>Трикотаж</x:v>
      </x:c>
      <x:c r="E212" s="56" t="n">
        <x:v>4400</x:v>
      </x:c>
      <x:c r="F212" s="64" t="n">
        <x:v>0.23649714517419618</x:v>
      </x:c>
      <x:c r="G212" s="56" t="n">
        <x:v>1405.8377885765035</x:v>
      </x:c>
      <x:c r="H212" s="64" t="n">
        <x:v>0.19490587302307283</x:v>
      </x:c>
      <x:c r="I212" s="56" t="n">
        <x:v>30</x:v>
      </x:c>
      <x:c r="J212" s="56" t="n">
        <x:v>9</x:v>
      </x:c>
      <x:c r="K212" s="56" t="n">
        <x:v>21</x:v>
      </x:c>
      <x:c r="L212" s="56" t="n">
        <x:v>3359.412561233537</x:v>
      </x:c>
      <x:c r="M212" s="56" t="n">
        <x:v>2587.54958635317</x:v>
      </x:c>
      <x:c r="N212" s="56" t="n">
        <x:v>523.1209033267753</x:v>
      </x:c>
      <x:c r="O212" s="56" t="n">
        <x:v>693.566814735085</x:v>
      </x:c>
      <x:c r="P212" s="56" t="n">
        <x:v>31.049385968119786</x:v>
      </x:c>
      <x:c r="Q212" s="56" t="n">
        <x:v>7672.754251359107</x:v>
      </x:c>
      <x:c r="R212" s="68" t="n">
        <x:f>IFERROR(K212/I212,0)</x:f>
        <x:v>0.7</x:v>
      </x:c>
      <x:c r="S212" s="60" t="n">
        <x:f>K212*L212</x:f>
        <x:v>70547.66378590428</x:v>
      </x:c>
      <x:c r="T212" s="60" t="n">
        <x:f>S212*H212</x:f>
        <x:v>13750.153999929893</x:v>
      </x:c>
      <x:c r="U212" s="60" t="n">
        <x:f>K212*G212</x:f>
        <x:v>29522.593560106572</x:v>
      </x:c>
      <x:c r="V212" s="60" t="n">
        <x:f>S212-T212-M212-N212-O212-P212-Q212-U212</x:f>
        <x:v>15766.875284125563</x:v>
      </x:c>
      <x:c r="W212" s="68" t="n">
        <x:f>IFERROR(V212/S212,0)</x:f>
        <x:v>0.22349252176477954</x:v>
      </x:c>
      <x:c r="X212" s="72" t="n">
        <x:f>IFERROR(S212/Q212,0)</x:f>
        <x:v>9.194568400702769</x:v>
      </x:c>
      <x:c r="Y212" s="30" t="str">
        <x:v>Моделируемые данные Unitmetra</x:v>
      </x:c>
    </x:row>
    <x:row r="213">
      <x:c r="A213" s="48" t="str">
        <x:v>2025-10</x:v>
      </x:c>
      <x:c r="B213" s="48" t="str">
        <x:v>UM-036</x:v>
      </x:c>
      <x:c r="C213" s="48" t="str">
        <x:v>Кардиган</x:v>
      </x:c>
      <x:c r="D213" s="48" t="str">
        <x:v>Трикотаж</x:v>
      </x:c>
      <x:c r="E213" s="56" t="n">
        <x:v>4400</x:v>
      </x:c>
      <x:c r="F213" s="64" t="n">
        <x:v>0.24649714517419619</x:v>
      </x:c>
      <x:c r="G213" s="56" t="n">
        <x:v>1405.8377885765035</x:v>
      </x:c>
      <x:c r="H213" s="64" t="n">
        <x:v>0.19490587302307283</x:v>
      </x:c>
      <x:c r="I213" s="56" t="n">
        <x:v>32</x:v>
      </x:c>
      <x:c r="J213" s="56" t="n">
        <x:v>10</x:v>
      </x:c>
      <x:c r="K213" s="56" t="n">
        <x:v>22</x:v>
      </x:c>
      <x:c r="L213" s="56" t="n">
        <x:v>3315.412561233537</x:v>
      </x:c>
      <x:c r="M213" s="56" t="n">
        <x:v>3092.6869504861324</x:v>
      </x:c>
      <x:c r="N213" s="56" t="n">
        <x:v>607.013564787879</x:v>
      </x:c>
      <x:c r="O213" s="56" t="n">
        <x:v>482.0372434622435</x:v>
      </x:c>
      <x:c r="P213" s="56" t="n">
        <x:v>140.2168026493464</x:v>
      </x:c>
      <x:c r="Q213" s="56" t="n">
        <x:v>7298.635488237814</x:v>
      </x:c>
      <x:c r="R213" s="68" t="n">
        <x:f>IFERROR(K213/I213,0)</x:f>
        <x:v>0.6875</x:v>
      </x:c>
      <x:c r="S213" s="60" t="n">
        <x:f>K213*L213</x:f>
        <x:v>72939.07634713782</x:v>
      </x:c>
      <x:c r="T213" s="60" t="n">
        <x:f>S213*H213</x:f>
        <x:v>14216.254352935457</x:v>
      </x:c>
      <x:c r="U213" s="60" t="n">
        <x:f>K213*G213</x:f>
        <x:v>30928.431348683076</x:v>
      </x:c>
      <x:c r="V213" s="60" t="n">
        <x:f>S213-T213-M213-N213-O213-P213-Q213-U213</x:f>
        <x:v>16173.800595895871</x:v>
      </x:c>
      <x:c r="W213" s="68" t="n">
        <x:f>IFERROR(V213/S213,0)</x:f>
        <x:v>0.22174397327051623</x:v>
      </x:c>
      <x:c r="X213" s="72" t="n">
        <x:f>IFERROR(S213/Q213,0)</x:f>
        <x:v>9.993522277511117</x:v>
      </x:c>
      <x:c r="Y213" s="30" t="str">
        <x:v>Моделируемые данные Unitmetra</x:v>
      </x:c>
    </x:row>
    <x:row r="214">
      <x:c r="A214" s="48" t="str">
        <x:v>2025-11</x:v>
      </x:c>
      <x:c r="B214" s="48" t="str">
        <x:v>UM-036</x:v>
      </x:c>
      <x:c r="C214" s="48" t="str">
        <x:v>Кардиган</x:v>
      </x:c>
      <x:c r="D214" s="48" t="str">
        <x:v>Трикотаж</x:v>
      </x:c>
      <x:c r="E214" s="56" t="n">
        <x:v>4400</x:v>
      </x:c>
      <x:c r="F214" s="64" t="n">
        <x:v>0.2764971451741962</x:v>
      </x:c>
      <x:c r="G214" s="56" t="n">
        <x:v>1405.8377885765035</x:v>
      </x:c>
      <x:c r="H214" s="64" t="n">
        <x:v>0.19490587302307283</x:v>
      </x:c>
      <x:c r="I214" s="56" t="n">
        <x:v>56</x:v>
      </x:c>
      <x:c r="J214" s="56" t="n">
        <x:v>19</x:v>
      </x:c>
      <x:c r="K214" s="56" t="n">
        <x:v>37</x:v>
      </x:c>
      <x:c r="L214" s="56" t="n">
        <x:v>3183.4125612335365</x:v>
      </x:c>
      <x:c r="M214" s="56" t="n">
        <x:v>4690.60749285818</x:v>
      </x:c>
      <x:c r="N214" s="56" t="n">
        <x:v>1586.4152865520423</x:v>
      </x:c>
      <x:c r="O214" s="56" t="n">
        <x:v>509.87418956526363</x:v>
      </x:c>
      <x:c r="P214" s="56" t="n">
        <x:v>0</x:v>
      </x:c>
      <x:c r="Q214" s="56" t="n">
        <x:v>9586.024675432203</x:v>
      </x:c>
      <x:c r="R214" s="68" t="n">
        <x:f>IFERROR(K214/I214,0)</x:f>
        <x:v>0.6607142857142857</x:v>
      </x:c>
      <x:c r="S214" s="60" t="n">
        <x:f>K214*L214</x:f>
        <x:v>117786.26476564085</x:v>
      </x:c>
      <x:c r="T214" s="60" t="n">
        <x:f>S214*H214</x:f>
        <x:v>22957.23476427403</x:v>
      </x:c>
      <x:c r="U214" s="60" t="n">
        <x:f>K214*G214</x:f>
        <x:v>52015.99817733063</x:v>
      </x:c>
      <x:c r="V214" s="60" t="n">
        <x:f>S214-T214-M214-N214-O214-P214-Q214-U214</x:f>
        <x:v>26440.1101796285</x:v>
      </x:c>
      <x:c r="W214" s="68" t="n">
        <x:f>IFERROR(V214/S214,0)</x:f>
        <x:v>0.22447532598335082</x:v>
      </x:c>
      <x:c r="X214" s="72" t="n">
        <x:f>IFERROR(S214/Q214,0)</x:f>
        <x:v>12.287289961553354</x:v>
      </x:c>
      <x:c r="Y214" s="30" t="str">
        <x:v>Моделируемые данные Unitmetra</x:v>
      </x:c>
    </x:row>
    <x:row r="215">
      <x:c r="A215" s="48" t="str">
        <x:v>2025-12</x:v>
      </x:c>
      <x:c r="B215" s="48" t="str">
        <x:v>UM-036</x:v>
      </x:c>
      <x:c r="C215" s="48" t="str">
        <x:v>Кардиган</x:v>
      </x:c>
      <x:c r="D215" s="48" t="str">
        <x:v>Трикотаж</x:v>
      </x:c>
      <x:c r="E215" s="56" t="n">
        <x:v>4400</x:v>
      </x:c>
      <x:c r="F215" s="64" t="n">
        <x:v>0.2964971451741961</x:v>
      </x:c>
      <x:c r="G215" s="56" t="n">
        <x:v>1405.8377885765035</x:v>
      </x:c>
      <x:c r="H215" s="64" t="n">
        <x:v>0.19490587302307283</x:v>
      </x:c>
      <x:c r="I215" s="56" t="n">
        <x:v>60</x:v>
      </x:c>
      <x:c r="J215" s="56" t="n">
        <x:v>22</x:v>
      </x:c>
      <x:c r="K215" s="56" t="n">
        <x:v>38</x:v>
      </x:c>
      <x:c r="L215" s="56" t="n">
        <x:v>3095.412561233537</x:v>
      </x:c>
      <x:c r="M215" s="56" t="n">
        <x:v>5512.484365217795</x:v>
      </x:c>
      <x:c r="N215" s="56" t="n">
        <x:v>1250.0162898450073</x:v>
      </x:c>
      <x:c r="O215" s="56" t="n">
        <x:v>380.30066182299805</x:v>
      </x:c>
      <x:c r="P215" s="56" t="n">
        <x:v>63.84722643696358</x:v>
      </x:c>
      <x:c r="Q215" s="56" t="n">
        <x:v>10357.78001647</x:v>
      </x:c>
      <x:c r="R215" s="68" t="n">
        <x:f>IFERROR(K215/I215,0)</x:f>
        <x:v>0.6333333333333333</x:v>
      </x:c>
      <x:c r="S215" s="60" t="n">
        <x:f>K215*L215</x:f>
        <x:v>117625.6773268744</x:v>
      </x:c>
      <x:c r="T215" s="60" t="n">
        <x:f>S215*H215</x:f>
        <x:v>22925.93532932472</x:v>
      </x:c>
      <x:c r="U215" s="60" t="n">
        <x:f>K215*G215</x:f>
        <x:v>53421.835965907136</x:v>
      </x:c>
      <x:c r="V215" s="60" t="n">
        <x:f>S215-T215-M215-N215-O215-P215-Q215-U215</x:f>
        <x:v>23713.477471849787</x:v>
      </x:c>
      <x:c r="W215" s="68" t="n">
        <x:f>IFERROR(V215/S215,0)</x:f>
        <x:v>0.2016011980611301</x:v>
      </x:c>
      <x:c r="X215" s="72" t="n">
        <x:f>IFERROR(S215/Q215,0)</x:f>
        <x:v>11.356263324750742</x:v>
      </x:c>
      <x:c r="Y215" s="30" t="str">
        <x:v>Моделируемые данные Unitmetra</x:v>
      </x:c>
    </x:row>
    <x:row r="216">
      <x:c r="A216" s="48" t="str">
        <x:v>2026-01</x:v>
      </x:c>
      <x:c r="B216" s="48" t="str">
        <x:v>UM-036</x:v>
      </x:c>
      <x:c r="C216" s="48" t="str">
        <x:v>Кардиган</x:v>
      </x:c>
      <x:c r="D216" s="48" t="str">
        <x:v>Трикотаж</x:v>
      </x:c>
      <x:c r="E216" s="56" t="n">
        <x:v>4400</x:v>
      </x:c>
      <x:c r="F216" s="64" t="n">
        <x:v>0.2664971451741962</x:v>
      </x:c>
      <x:c r="G216" s="56" t="n">
        <x:v>1405.8377885765035</x:v>
      </x:c>
      <x:c r="H216" s="64" t="n">
        <x:v>0.19490587302307283</x:v>
      </x:c>
      <x:c r="I216" s="56" t="n">
        <x:v>34</x:v>
      </x:c>
      <x:c r="J216" s="56" t="n">
        <x:v>10</x:v>
      </x:c>
      <x:c r="K216" s="56" t="n">
        <x:v>24</x:v>
      </x:c>
      <x:c r="L216" s="56" t="n">
        <x:v>3227.4125612335365</x:v>
      </x:c>
      <x:c r="M216" s="56" t="n">
        <x:v>3446.111660502427</x:v>
      </x:c>
      <x:c r="N216" s="56" t="n">
        <x:v>781.5581622531778</x:v>
      </x:c>
      <x:c r="O216" s="56" t="n">
        <x:v>778.0659623044933</x:v>
      </x:c>
      <x:c r="P216" s="56" t="n">
        <x:v>0</x:v>
      </x:c>
      <x:c r="Q216" s="56" t="n">
        <x:v>7580.544412476854</x:v>
      </x:c>
      <x:c r="R216" s="68" t="n">
        <x:f>IFERROR(K216/I216,0)</x:f>
        <x:v>0.7058823529411765</x:v>
      </x:c>
      <x:c r="S216" s="60" t="n">
        <x:f>K216*L216</x:f>
        <x:v>77457.90146960487</x:v>
      </x:c>
      <x:c r="T216" s="60" t="n">
        <x:f>S216*H216</x:f>
        <x:v>15096.999908468493</x:v>
      </x:c>
      <x:c r="U216" s="60" t="n">
        <x:f>K216*G216</x:f>
        <x:v>33740.10692583608</x:v>
      </x:c>
      <x:c r="V216" s="60" t="n">
        <x:f>S216-T216-M216-N216-O216-P216-Q216-U216</x:f>
        <x:v>16034.51443776334</x:v>
      </x:c>
      <x:c r="W216" s="68" t="n">
        <x:f>IFERROR(V216/S216,0)</x:f>
        <x:v>0.20700940941519594</x:v>
      </x:c>
      <x:c r="X216" s="72" t="n">
        <x:f>IFERROR(S216/Q216,0)</x:f>
        <x:v>10.21798663195173</x:v>
      </x:c>
      <x:c r="Y216" s="30" t="str">
        <x:v>Моделируемые данные Unitmetra</x:v>
      </x:c>
    </x:row>
    <x:row r="217">
      <x:c r="A217" s="48" t="str">
        <x:v>2026-02</x:v>
      </x:c>
      <x:c r="B217" s="48" t="str">
        <x:v>UM-036</x:v>
      </x:c>
      <x:c r="C217" s="48" t="str">
        <x:v>Кардиган</x:v>
      </x:c>
      <x:c r="D217" s="48" t="str">
        <x:v>Трикотаж</x:v>
      </x:c>
      <x:c r="E217" s="56" t="n">
        <x:v>4400</x:v>
      </x:c>
      <x:c r="F217" s="64" t="n">
        <x:v>0.24649714517419619</x:v>
      </x:c>
      <x:c r="G217" s="56" t="n">
        <x:v>1405.8377885765035</x:v>
      </x:c>
      <x:c r="H217" s="64" t="n">
        <x:v>0.19490587302307283</x:v>
      </x:c>
      <x:c r="I217" s="56" t="n">
        <x:v>30</x:v>
      </x:c>
      <x:c r="J217" s="56" t="n">
        <x:v>10</x:v>
      </x:c>
      <x:c r="K217" s="56" t="n">
        <x:v>20</x:v>
      </x:c>
      <x:c r="L217" s="56" t="n">
        <x:v>3315.412561233537</x:v>
      </x:c>
      <x:c r="M217" s="56" t="n">
        <x:v>2470.4624179801795</x:v>
      </x:c>
      <x:c r="N217" s="56" t="n">
        <x:v>678.7296614407771</x:v>
      </x:c>
      <x:c r="O217" s="56" t="n">
        <x:v>735.1656473401737</x:v>
      </x:c>
      <x:c r="P217" s="56" t="n">
        <x:v>25.598449563268694</x:v>
      </x:c>
      <x:c r="Q217" s="56" t="n">
        <x:v>6906.864992960197</x:v>
      </x:c>
      <x:c r="R217" s="68" t="n">
        <x:f>IFERROR(K217/I217,0)</x:f>
        <x:v>0.6666666666666666</x:v>
      </x:c>
      <x:c r="S217" s="60" t="n">
        <x:f>K217*L217</x:f>
        <x:v>66308.25122467073</x:v>
      </x:c>
      <x:c r="T217" s="60" t="n">
        <x:f>S217*H217</x:f>
        <x:v>12923.867593577688</x:v>
      </x:c>
      <x:c r="U217" s="60" t="n">
        <x:f>K217*G217</x:f>
        <x:v>28116.75577153007</x:v>
      </x:c>
      <x:c r="V217" s="60" t="n">
        <x:f>S217-T217-M217-N217-O217-P217-Q217-U217</x:f>
        <x:v>14450.80669027839</x:v>
      </x:c>
      <x:c r="W217" s="68" t="n">
        <x:f>IFERROR(V217/S217,0)</x:f>
        <x:v>0.2179337627426646</x:v>
      </x:c>
      <x:c r="X217" s="72" t="n">
        <x:f>IFERROR(S217/Q217,0)</x:f>
        <x:v>9.600339849158082</x:v>
      </x:c>
      <x:c r="Y217" s="30" t="str">
        <x:v>Моделируемые данные Unitmetra</x:v>
      </x:c>
    </x:row>
    <x:row r="218">
      <x:c r="A218" s="48" t="str">
        <x:v>2025-09</x:v>
      </x:c>
      <x:c r="B218" s="48" t="str">
        <x:v>UM-037</x:v>
      </x:c>
      <x:c r="C218" s="48" t="str">
        <x:v>Джемпер oversize</x:v>
      </x:c>
      <x:c r="D218" s="48" t="str">
        <x:v>Трикотаж</x:v>
      </x:c>
      <x:c r="E218" s="56" t="n">
        <x:v>3300</x:v>
      </x:c>
      <x:c r="F218" s="64" t="n">
        <x:v>0.17965433007221732</x:v>
      </x:c>
      <x:c r="G218" s="56" t="n">
        <x:v>984.7182957470421</x:v>
      </x:c>
      <x:c r="H218" s="64" t="n">
        <x:v>0.20857990671983687</x:v>
      </x:c>
      <x:c r="I218" s="56" t="n">
        <x:v>39</x:v>
      </x:c>
      <x:c r="J218" s="56" t="n">
        <x:v>16</x:v>
      </x:c>
      <x:c r="K218" s="56" t="n">
        <x:v>23</x:v>
      </x:c>
      <x:c r="L218" s="56" t="n">
        <x:v>2707.140710761683</x:v>
      </x:c>
      <x:c r="M218" s="56" t="n">
        <x:v>4248.552934668567</x:v>
      </x:c>
      <x:c r="N218" s="56" t="n">
        <x:v>1297.2936769016915</x:v>
      </x:c>
      <x:c r="O218" s="56" t="n">
        <x:v>968.7527794093739</x:v>
      </x:c>
      <x:c r="P218" s="56" t="n">
        <x:v>0</x:v>
      </x:c>
      <x:c r="Q218" s="56" t="n">
        <x:v>3102.4803540559788</x:v>
      </x:c>
      <x:c r="R218" s="68" t="n">
        <x:f>IFERROR(K218/I218,0)</x:f>
        <x:v>0.5897435897435898</x:v>
      </x:c>
      <x:c r="S218" s="60" t="n">
        <x:f>K218*L218</x:f>
        <x:v>62264.23634751871</x:v>
      </x:c>
      <x:c r="T218" s="60" t="n">
        <x:f>S218*H218</x:f>
        <x:v>12987.068609347329</x:v>
      </x:c>
      <x:c r="U218" s="60" t="n">
        <x:f>K218*G218</x:f>
        <x:v>22648.52080218197</x:v>
      </x:c>
      <x:c r="V218" s="60" t="n">
        <x:f>S218-T218-M218-N218-O218-P218-Q218-U218</x:f>
        <x:v>17011.5671909538</x:v>
      </x:c>
      <x:c r="W218" s="68" t="n">
        <x:f>IFERROR(V218/S218,0)</x:f>
        <x:v>0.2732157043733136</x:v>
      </x:c>
      <x:c r="X218" s="72" t="n">
        <x:f>IFERROR(S218/Q218,0)</x:f>
        <x:v>20.069179895408052</x:v>
      </x:c>
      <x:c r="Y218" s="30" t="str">
        <x:v>Моделируемые данные Unitmetra</x:v>
      </x:c>
    </x:row>
    <x:row r="219">
      <x:c r="A219" s="48" t="str">
        <x:v>2025-10</x:v>
      </x:c>
      <x:c r="B219" s="48" t="str">
        <x:v>UM-037</x:v>
      </x:c>
      <x:c r="C219" s="48" t="str">
        <x:v>Джемпер oversize</x:v>
      </x:c>
      <x:c r="D219" s="48" t="str">
        <x:v>Трикотаж</x:v>
      </x:c>
      <x:c r="E219" s="56" t="n">
        <x:v>3300</x:v>
      </x:c>
      <x:c r="F219" s="64" t="n">
        <x:v>0.18965433007221733</x:v>
      </x:c>
      <x:c r="G219" s="56" t="n">
        <x:v>984.7182957470421</x:v>
      </x:c>
      <x:c r="H219" s="64" t="n">
        <x:v>0.20857990671983687</x:v>
      </x:c>
      <x:c r="I219" s="56" t="n">
        <x:v>44</x:v>
      </x:c>
      <x:c r="J219" s="56" t="n">
        <x:v>18</x:v>
      </x:c>
      <x:c r="K219" s="56" t="n">
        <x:v>26</x:v>
      </x:c>
      <x:c r="L219" s="56" t="n">
        <x:v>2674.140710761683</x:v>
      </x:c>
      <x:c r="M219" s="56" t="n">
        <x:v>4498.894922364109</x:v>
      </x:c>
      <x:c r="N219" s="56" t="n">
        <x:v>1106.785427290678</x:v>
      </x:c>
      <x:c r="O219" s="56" t="n">
        <x:v>782.2942712784285</x:v>
      </x:c>
      <x:c r="P219" s="56" t="n">
        <x:v>12.228584731378119</x:v>
      </x:c>
      <x:c r="Q219" s="56" t="n">
        <x:v>4774.207425016072</x:v>
      </x:c>
      <x:c r="R219" s="68" t="n">
        <x:f>IFERROR(K219/I219,0)</x:f>
        <x:v>0.5909090909090909</x:v>
      </x:c>
      <x:c r="S219" s="60" t="n">
        <x:f>K219*L219</x:f>
        <x:v>69527.65847980375</x:v>
      </x:c>
      <x:c r="T219" s="60" t="n">
        <x:f>S219*H219</x:f>
        <x:v>14502.07252016614</x:v>
      </x:c>
      <x:c r="U219" s="60" t="n">
        <x:f>K219*G219</x:f>
        <x:v>25602.675689423097</x:v>
      </x:c>
      <x:c r="V219" s="60" t="n">
        <x:f>S219-T219-M219-N219-O219-P219-Q219-U219</x:f>
        <x:v>18248.49963953385</x:v>
      </x:c>
      <x:c r="W219" s="68" t="n">
        <x:f>IFERROR(V219/S219,0)</x:f>
        <x:v>0.26246388902676243</x:v>
      </x:c>
      <x:c r="X219" s="72" t="n">
        <x:f>IFERROR(S219/Q219,0)</x:f>
        <x:v>14.563183433440722</x:v>
      </x:c>
      <x:c r="Y219" s="30" t="str">
        <x:v>Моделируемые данные Unitmetra</x:v>
      </x:c>
    </x:row>
    <x:row r="220">
      <x:c r="A220" s="48" t="str">
        <x:v>2025-11</x:v>
      </x:c>
      <x:c r="B220" s="48" t="str">
        <x:v>UM-037</x:v>
      </x:c>
      <x:c r="C220" s="48" t="str">
        <x:v>Джемпер oversize</x:v>
      </x:c>
      <x:c r="D220" s="48" t="str">
        <x:v>Трикотаж</x:v>
      </x:c>
      <x:c r="E220" s="56" t="n">
        <x:v>3300</x:v>
      </x:c>
      <x:c r="F220" s="64" t="n">
        <x:v>0.21965433007221735</x:v>
      </x:c>
      <x:c r="G220" s="56" t="n">
        <x:v>984.7182957470421</x:v>
      </x:c>
      <x:c r="H220" s="64" t="n">
        <x:v>0.20857990671983687</x:v>
      </x:c>
      <x:c r="I220" s="56" t="n">
        <x:v>61</x:v>
      </x:c>
      <x:c r="J220" s="56" t="n">
        <x:v>23</x:v>
      </x:c>
      <x:c r="K220" s="56" t="n">
        <x:v>38</x:v>
      </x:c>
      <x:c r="L220" s="56" t="n">
        <x:v>2575.140710761683</x:v>
      </x:c>
      <x:c r="M220" s="56" t="n">
        <x:v>7046.7901700752245</x:v>
      </x:c>
      <x:c r="N220" s="56" t="n">
        <x:v>1792.3051412102805</x:v>
      </x:c>
      <x:c r="O220" s="56" t="n">
        <x:v>821.2084895500408</x:v>
      </x:c>
      <x:c r="P220" s="56" t="n">
        <x:v>0</x:v>
      </x:c>
      <x:c r="Q220" s="56" t="n">
        <x:v>3999.443231741993</x:v>
      </x:c>
      <x:c r="R220" s="68" t="n">
        <x:f>IFERROR(K220/I220,0)</x:f>
        <x:v>0.6229508196721312</x:v>
      </x:c>
      <x:c r="S220" s="60" t="n">
        <x:f>K220*L220</x:f>
        <x:v>97855.34700894395</x:v>
      </x:c>
      <x:c r="T220" s="60" t="n">
        <x:f>S220*H220</x:f>
        <x:v>20410.659151162796</x:v>
      </x:c>
      <x:c r="U220" s="60" t="n">
        <x:f>K220*G220</x:f>
        <x:v>37419.2952383876</x:v>
      </x:c>
      <x:c r="V220" s="60" t="n">
        <x:f>S220-T220-M220-N220-O220-P220-Q220-U220</x:f>
        <x:v>26365.645586816012</x:v>
      </x:c>
      <x:c r="W220" s="68" t="n">
        <x:f>IFERROR(V220/S220,0)</x:f>
        <x:v>0.269434899499219</x:v>
      </x:c>
      <x:c r="X220" s="72" t="n">
        <x:f>IFERROR(S220/Q220,0)</x:f>
        <x:v>24.467242398218062</x:v>
      </x:c>
      <x:c r="Y220" s="30" t="str">
        <x:v>Моделируемые данные Unitmetra</x:v>
      </x:c>
    </x:row>
    <x:row r="221">
      <x:c r="A221" s="48" t="str">
        <x:v>2025-12</x:v>
      </x:c>
      <x:c r="B221" s="48" t="str">
        <x:v>UM-037</x:v>
      </x:c>
      <x:c r="C221" s="48" t="str">
        <x:v>Джемпер oversize</x:v>
      </x:c>
      <x:c r="D221" s="48" t="str">
        <x:v>Трикотаж</x:v>
      </x:c>
      <x:c r="E221" s="56" t="n">
        <x:v>3300</x:v>
      </x:c>
      <x:c r="F221" s="64" t="n">
        <x:v>0.23965433007221737</x:v>
      </x:c>
      <x:c r="G221" s="56" t="n">
        <x:v>984.7182957470421</x:v>
      </x:c>
      <x:c r="H221" s="64" t="n">
        <x:v>0.20857990671983687</x:v>
      </x:c>
      <x:c r="I221" s="56" t="n">
        <x:v>63</x:v>
      </x:c>
      <x:c r="J221" s="56" t="n">
        <x:v>28</x:v>
      </x:c>
      <x:c r="K221" s="56" t="n">
        <x:v>35</x:v>
      </x:c>
      <x:c r="L221" s="56" t="n">
        <x:v>2509.140710761683</x:v>
      </x:c>
      <x:c r="M221" s="56" t="n">
        <x:v>5793.795363299636</x:v>
      </x:c>
      <x:c r="N221" s="56" t="n">
        <x:v>1573.1998396997935</x:v>
      </x:c>
      <x:c r="O221" s="56" t="n">
        <x:v>272.9240964076068</x:v>
      </x:c>
      <x:c r="P221" s="56" t="n">
        <x:v>0</x:v>
      </x:c>
      <x:c r="Q221" s="56" t="n">
        <x:v>3052.096152023111</x:v>
      </x:c>
      <x:c r="R221" s="68" t="n">
        <x:f>IFERROR(K221/I221,0)</x:f>
        <x:v>0.5555555555555556</x:v>
      </x:c>
      <x:c r="S221" s="60" t="n">
        <x:f>K221*L221</x:f>
        <x:v>87819.9248766589</x:v>
      </x:c>
      <x:c r="T221" s="60" t="n">
        <x:f>S221*H221</x:f>
        <x:v>18317.471738916596</x:v>
      </x:c>
      <x:c r="U221" s="60" t="n">
        <x:f>K221*G221</x:f>
        <x:v>34465.140351146474</x:v>
      </x:c>
      <x:c r="V221" s="60" t="n">
        <x:f>S221-T221-M221-N221-O221-P221-Q221-U221</x:f>
        <x:v>24345.29733516567</x:v>
      </x:c>
      <x:c r="W221" s="68" t="n">
        <x:f>IFERROR(V221/S221,0)</x:f>
        <x:v>0.27721838033177654</x:v>
      </x:c>
      <x:c r="X221" s="72" t="n">
        <x:f>IFERROR(S221/Q221,0)</x:f>
        <x:v>28.773642933380927</x:v>
      </x:c>
      <x:c r="Y221" s="30" t="str">
        <x:v>Моделируемые данные Unitmetra</x:v>
      </x:c>
    </x:row>
    <x:row r="222">
      <x:c r="A222" s="48" t="str">
        <x:v>2026-01</x:v>
      </x:c>
      <x:c r="B222" s="48" t="str">
        <x:v>UM-037</x:v>
      </x:c>
      <x:c r="C222" s="48" t="str">
        <x:v>Джемпер oversize</x:v>
      </x:c>
      <x:c r="D222" s="48" t="str">
        <x:v>Трикотаж</x:v>
      </x:c>
      <x:c r="E222" s="56" t="n">
        <x:v>3300</x:v>
      </x:c>
      <x:c r="F222" s="64" t="n">
        <x:v>0.20965433007221734</x:v>
      </x:c>
      <x:c r="G222" s="56" t="n">
        <x:v>984.7182957470421</x:v>
      </x:c>
      <x:c r="H222" s="64" t="n">
        <x:v>0.20857990671983687</x:v>
      </x:c>
      <x:c r="I222" s="56" t="n">
        <x:v>44</x:v>
      </x:c>
      <x:c r="J222" s="56" t="n">
        <x:v>18</x:v>
      </x:c>
      <x:c r="K222" s="56" t="n">
        <x:v>26</x:v>
      </x:c>
      <x:c r="L222" s="56" t="n">
        <x:v>2608.140710761683</x:v>
      </x:c>
      <x:c r="M222" s="56" t="n">
        <x:v>4350.086735498907</x:v>
      </x:c>
      <x:c r="N222" s="56" t="n">
        <x:v>1252.4644347628714</x:v>
      </x:c>
      <x:c r="O222" s="56" t="n">
        <x:v>633.8301939395144</x:v>
      </x:c>
      <x:c r="P222" s="56" t="n">
        <x:v>0</x:v>
      </x:c>
      <x:c r="Q222" s="56" t="n">
        <x:v>3953.257411242967</x:v>
      </x:c>
      <x:c r="R222" s="68" t="n">
        <x:f>IFERROR(K222/I222,0)</x:f>
        <x:v>0.5909090909090909</x:v>
      </x:c>
      <x:c r="S222" s="60" t="n">
        <x:f>K222*L222</x:f>
        <x:v>67811.65847980375</x:v>
      </x:c>
      <x:c r="T222" s="60" t="n">
        <x:f>S222*H222</x:f>
        <x:v>14144.1494002349</x:v>
      </x:c>
      <x:c r="U222" s="60" t="n">
        <x:f>K222*G222</x:f>
        <x:v>25602.675689423097</x:v>
      </x:c>
      <x:c r="V222" s="60" t="n">
        <x:f>S222-T222-M222-N222-O222-P222-Q222-U222</x:f>
        <x:v>17875.194614701493</x:v>
      </x:c>
      <x:c r="W222" s="68" t="n">
        <x:f>IFERROR(V222/S222,0)</x:f>
        <x:v>0.2636006110958816</x:v>
      </x:c>
      <x:c r="X222" s="72" t="n">
        <x:f>IFERROR(S222/Q222,0)</x:f>
        <x:v>17.153362765336013</x:v>
      </x:c>
      <x:c r="Y222" s="30" t="str">
        <x:v>Моделируемые данные Unitmetra</x:v>
      </x:c>
    </x:row>
    <x:row r="223">
      <x:c r="A223" s="48" t="str">
        <x:v>2026-02</x:v>
      </x:c>
      <x:c r="B223" s="48" t="str">
        <x:v>UM-037</x:v>
      </x:c>
      <x:c r="C223" s="48" t="str">
        <x:v>Джемпер oversize</x:v>
      </x:c>
      <x:c r="D223" s="48" t="str">
        <x:v>Трикотаж</x:v>
      </x:c>
      <x:c r="E223" s="56" t="n">
        <x:v>3300</x:v>
      </x:c>
      <x:c r="F223" s="64" t="n">
        <x:v>0.18965433007221733</x:v>
      </x:c>
      <x:c r="G223" s="56" t="n">
        <x:v>984.7182957470421</x:v>
      </x:c>
      <x:c r="H223" s="64" t="n">
        <x:v>0.20857990671983687</x:v>
      </x:c>
      <x:c r="I223" s="56" t="n">
        <x:v>48</x:v>
      </x:c>
      <x:c r="J223" s="56" t="n">
        <x:v>20</x:v>
      </x:c>
      <x:c r="K223" s="56" t="n">
        <x:v>28</x:v>
      </x:c>
      <x:c r="L223" s="56" t="n">
        <x:v>2674.140710761683</x:v>
      </x:c>
      <x:c r="M223" s="56" t="n">
        <x:v>5750.418081261716</x:v>
      </x:c>
      <x:c r="N223" s="56" t="n">
        <x:v>1147.2459739297503</x:v>
      </x:c>
      <x:c r="O223" s="56" t="n">
        <x:v>469.7488713227797</x:v>
      </x:c>
      <x:c r="P223" s="56" t="n">
        <x:v>0</x:v>
      </x:c>
      <x:c r="Q223" s="56" t="n">
        <x:v>3761.5708645919394</x:v>
      </x:c>
      <x:c r="R223" s="68" t="n">
        <x:f>IFERROR(K223/I223,0)</x:f>
        <x:v>0.5833333333333334</x:v>
      </x:c>
      <x:c r="S223" s="60" t="n">
        <x:f>K223*L223</x:f>
        <x:v>74875.93990132712</x:v>
      </x:c>
      <x:c r="T223" s="60" t="n">
        <x:f>S223*H223</x:f>
        <x:v>15617.616560178922</x:v>
      </x:c>
      <x:c r="U223" s="60" t="n">
        <x:f>K223*G223</x:f>
        <x:v>27572.11228091718</x:v>
      </x:c>
      <x:c r="V223" s="60" t="n">
        <x:f>S223-T223-M223-N223-O223-P223-Q223-U223</x:f>
        <x:v>20557.227269124836</x:v>
      </x:c>
      <x:c r="W223" s="68" t="n">
        <x:f>IFERROR(V223/S223,0)</x:f>
        <x:v>0.2745505070950098</x:v>
      </x:c>
      <x:c r="X223" s="72" t="n">
        <x:f>IFERROR(S223/Q223,0)</x:f>
        <x:v>19.905497622321086</x:v>
      </x:c>
      <x:c r="Y223" s="30" t="str">
        <x:v>Моделируемые данные Unitmetra</x:v>
      </x:c>
    </x:row>
    <x:row r="224">
      <x:c r="A224" s="48" t="str">
        <x:v>2025-09</x:v>
      </x:c>
      <x:c r="B224" s="48" t="str">
        <x:v>UM-038</x:v>
      </x:c>
      <x:c r="C224" s="48" t="str">
        <x:v>Свитер с воротом</x:v>
      </x:c>
      <x:c r="D224" s="48" t="str">
        <x:v>Трикотаж</x:v>
      </x:c>
      <x:c r="E224" s="56" t="n">
        <x:v>3700</x:v>
      </x:c>
      <x:c r="F224" s="64" t="n">
        <x:v>0.16338771907083172</x:v>
      </x:c>
      <x:c r="G224" s="56" t="n">
        <x:v>1365.1509005626156</x:v>
      </x:c>
      <x:c r="H224" s="64" t="n">
        <x:v>0.18503551765398998</x:v>
      </x:c>
      <x:c r="I224" s="56" t="n">
        <x:v>27</x:v>
      </x:c>
      <x:c r="J224" s="56" t="n">
        <x:v>9</x:v>
      </x:c>
      <x:c r="K224" s="56" t="n">
        <x:v>18</x:v>
      </x:c>
      <x:c r="L224" s="56" t="n">
        <x:v>3095.4654394379227</x:v>
      </x:c>
      <x:c r="M224" s="56" t="n">
        <x:v>2695.9918422555747</x:v>
      </x:c>
      <x:c r="N224" s="56" t="n">
        <x:v>743.196307198651</x:v>
      </x:c>
      <x:c r="O224" s="56" t="n">
        <x:v>284.416127870386</x:v>
      </x:c>
      <x:c r="P224" s="56" t="n">
        <x:v>89.1197737189795</x:v>
      </x:c>
      <x:c r="Q224" s="56" t="n">
        <x:v>3269.5107713998036</x:v>
      </x:c>
      <x:c r="R224" s="68" t="n">
        <x:f>IFERROR(K224/I224,0)</x:f>
        <x:v>0.6666666666666666</x:v>
      </x:c>
      <x:c r="S224" s="60" t="n">
        <x:f>K224*L224</x:f>
        <x:v>55718.377909882605</x:v>
      </x:c>
      <x:c r="T224" s="60" t="n">
        <x:f>S224*H224</x:f>
        <x:v>10309.878899395768</x:v>
      </x:c>
      <x:c r="U224" s="60" t="n">
        <x:f>K224*G224</x:f>
        <x:v>24572.71621012708</x:v>
      </x:c>
      <x:c r="V224" s="60" t="n">
        <x:f>S224-T224-M224-N224-O224-P224-Q224-U224</x:f>
        <x:v>13753.547977916358</x:v>
      </x:c>
      <x:c r="W224" s="68" t="n">
        <x:f>IFERROR(V224/S224,0)</x:f>
        <x:v>0.2468404231035041</x:v>
      </x:c>
      <x:c r="X224" s="72" t="n">
        <x:f>IFERROR(S224/Q224,0)</x:f>
        <x:v>17.04180894502067</x:v>
      </x:c>
      <x:c r="Y224" s="30" t="str">
        <x:v>Моделируемые данные Unitmetra</x:v>
      </x:c>
    </x:row>
    <x:row r="225">
      <x:c r="A225" s="48" t="str">
        <x:v>2025-10</x:v>
      </x:c>
      <x:c r="B225" s="48" t="str">
        <x:v>UM-038</x:v>
      </x:c>
      <x:c r="C225" s="48" t="str">
        <x:v>Свитер с воротом</x:v>
      </x:c>
      <x:c r="D225" s="48" t="str">
        <x:v>Трикотаж</x:v>
      </x:c>
      <x:c r="E225" s="56" t="n">
        <x:v>3700</x:v>
      </x:c>
      <x:c r="F225" s="64" t="n">
        <x:v>0.17338771907083173</x:v>
      </x:c>
      <x:c r="G225" s="56" t="n">
        <x:v>1365.1509005626156</x:v>
      </x:c>
      <x:c r="H225" s="64" t="n">
        <x:v>0.18503551765398998</x:v>
      </x:c>
      <x:c r="I225" s="56" t="n">
        <x:v>29</x:v>
      </x:c>
      <x:c r="J225" s="56" t="n">
        <x:v>12</x:v>
      </x:c>
      <x:c r="K225" s="56" t="n">
        <x:v>17</x:v>
      </x:c>
      <x:c r="L225" s="56" t="n">
        <x:v>3058.4654394379227</x:v>
      </x:c>
      <x:c r="M225" s="56" t="n">
        <x:v>2985.423175803023</x:v>
      </x:c>
      <x:c r="N225" s="56" t="n">
        <x:v>839.2793846855363</x:v>
      </x:c>
      <x:c r="O225" s="56" t="n">
        <x:v>553.8593184228714</x:v>
      </x:c>
      <x:c r="P225" s="56" t="n">
        <x:v>123.07412758128558</x:v>
      </x:c>
      <x:c r="Q225" s="56" t="n">
        <x:v>3434.1526766331563</x:v>
      </x:c>
      <x:c r="R225" s="68" t="n">
        <x:f>IFERROR(K225/I225,0)</x:f>
        <x:v>0.5862068965517241</x:v>
      </x:c>
      <x:c r="S225" s="60" t="n">
        <x:f>K225*L225</x:f>
        <x:v>51993.91247044469</x:v>
      </x:c>
      <x:c r="T225" s="60" t="n">
        <x:f>S225*H225</x:f>
        <x:v>9620.720508824978</x:v>
      </x:c>
      <x:c r="U225" s="60" t="n">
        <x:f>K225*G225</x:f>
        <x:v>23207.565309564463</x:v>
      </x:c>
      <x:c r="V225" s="60" t="n">
        <x:f>S225-T225-M225-N225-O225-P225-Q225-U225</x:f>
        <x:v>11229.837968929376</x:v>
      </x:c>
      <x:c r="W225" s="68" t="n">
        <x:f>IFERROR(V225/S225,0)</x:f>
        <x:v>0.21598370723328125</x:v>
      </x:c>
      <x:c r="X225" s="72" t="n">
        <x:f>IFERROR(S225/Q225,0)</x:f>
        <x:v>15.140244877353423</x:v>
      </x:c>
      <x:c r="Y225" s="30" t="str">
        <x:v>Моделируемые данные Unitmetra</x:v>
      </x:c>
    </x:row>
    <x:row r="226">
      <x:c r="A226" s="48" t="str">
        <x:v>2025-11</x:v>
      </x:c>
      <x:c r="B226" s="48" t="str">
        <x:v>UM-038</x:v>
      </x:c>
      <x:c r="C226" s="48" t="str">
        <x:v>Свитер с воротом</x:v>
      </x:c>
      <x:c r="D226" s="48" t="str">
        <x:v>Трикотаж</x:v>
      </x:c>
      <x:c r="E226" s="56" t="n">
        <x:v>3700</x:v>
      </x:c>
      <x:c r="F226" s="64" t="n">
        <x:v>0.20338771907083175</x:v>
      </x:c>
      <x:c r="G226" s="56" t="n">
        <x:v>1365.1509005626156</x:v>
      </x:c>
      <x:c r="H226" s="64" t="n">
        <x:v>0.18503551765398998</x:v>
      </x:c>
      <x:c r="I226" s="56" t="n">
        <x:v>46</x:v>
      </x:c>
      <x:c r="J226" s="56" t="n">
        <x:v>19</x:v>
      </x:c>
      <x:c r="K226" s="56" t="n">
        <x:v>27</x:v>
      </x:c>
      <x:c r="L226" s="56" t="n">
        <x:v>2947.4654394379227</x:v>
      </x:c>
      <x:c r="M226" s="56" t="n">
        <x:v>4724.651902332505</x:v>
      </x:c>
      <x:c r="N226" s="56" t="n">
        <x:v>1084.409768654139</x:v>
      </x:c>
      <x:c r="O226" s="56" t="n">
        <x:v>362.2522792670412</x:v>
      </x:c>
      <x:c r="P226" s="56" t="n">
        <x:v>0</x:v>
      </x:c>
      <x:c r="Q226" s="56" t="n">
        <x:v>4691.481149780501</x:v>
      </x:c>
      <x:c r="R226" s="68" t="n">
        <x:f>IFERROR(K226/I226,0)</x:f>
        <x:v>0.5869565217391305</x:v>
      </x:c>
      <x:c r="S226" s="60" t="n">
        <x:f>K226*L226</x:f>
        <x:v>79581.56686482391</x:v>
      </x:c>
      <x:c r="T226" s="60" t="n">
        <x:f>S226*H226</x:f>
        <x:v>14725.416420548308</x:v>
      </x:c>
      <x:c r="U226" s="60" t="n">
        <x:f>K226*G226</x:f>
        <x:v>36859.07431519062</x:v>
      </x:c>
      <x:c r="V226" s="60" t="n">
        <x:f>S226-T226-M226-N226-O226-P226-Q226-U226</x:f>
        <x:v>17134.28102905079</x:v>
      </x:c>
      <x:c r="W226" s="68" t="n">
        <x:f>IFERROR(V226/S226,0)</x:f>
        <x:v>0.21530464533520471</x:v>
      </x:c>
      <x:c r="X226" s="72" t="n">
        <x:f>IFERROR(S226/Q226,0)</x:f>
        <x:v>16.962994057547746</x:v>
      </x:c>
      <x:c r="Y226" s="30" t="str">
        <x:v>Моделируемые данные Unitmetra</x:v>
      </x:c>
    </x:row>
    <x:row r="227">
      <x:c r="A227" s="48" t="str">
        <x:v>2025-12</x:v>
      </x:c>
      <x:c r="B227" s="48" t="str">
        <x:v>UM-038</x:v>
      </x:c>
      <x:c r="C227" s="48" t="str">
        <x:v>Свитер с воротом</x:v>
      </x:c>
      <x:c r="D227" s="48" t="str">
        <x:v>Трикотаж</x:v>
      </x:c>
      <x:c r="E227" s="56" t="n">
        <x:v>3700</x:v>
      </x:c>
      <x:c r="F227" s="64" t="n">
        <x:v>0.22338771907083166</x:v>
      </x:c>
      <x:c r="G227" s="56" t="n">
        <x:v>1365.1509005626156</x:v>
      </x:c>
      <x:c r="H227" s="64" t="n">
        <x:v>0.18503551765398998</x:v>
      </x:c>
      <x:c r="I227" s="56" t="n">
        <x:v>52</x:v>
      </x:c>
      <x:c r="J227" s="56" t="n">
        <x:v>21</x:v>
      </x:c>
      <x:c r="K227" s="56" t="n">
        <x:v>31</x:v>
      </x:c>
      <x:c r="L227" s="56" t="n">
        <x:v>2873.4654394379227</x:v>
      </x:c>
      <x:c r="M227" s="56" t="n">
        <x:v>5954.099424849317</x:v>
      </x:c>
      <x:c r="N227" s="56" t="n">
        <x:v>1681.3840248099877</x:v>
      </x:c>
      <x:c r="O227" s="56" t="n">
        <x:v>189.96201028981315</x:v>
      </x:c>
      <x:c r="P227" s="56" t="n">
        <x:v>0</x:v>
      </x:c>
      <x:c r="Q227" s="56" t="n">
        <x:v>4486.411253373061</x:v>
      </x:c>
      <x:c r="R227" s="68" t="n">
        <x:f>IFERROR(K227/I227,0)</x:f>
        <x:v>0.5961538461538461</x:v>
      </x:c>
      <x:c r="S227" s="60" t="n">
        <x:f>K227*L227</x:f>
        <x:v>89077.42862257561</x:v>
      </x:c>
      <x:c r="T227" s="60" t="n">
        <x:f>S227*H227</x:f>
        <x:v>16482.48811646462</x:v>
      </x:c>
      <x:c r="U227" s="60" t="n">
        <x:f>K227*G227</x:f>
        <x:v>42319.677917441084</x:v>
      </x:c>
      <x:c r="V227" s="60" t="n">
        <x:f>S227-T227-M227-N227-O227-P227-Q227-U227</x:f>
        <x:v>17963.405875347722</x:v>
      </x:c>
      <x:c r="W227" s="68" t="n">
        <x:f>IFERROR(V227/S227,0)</x:f>
        <x:v>0.20166057948820396</x:v>
      </x:c>
      <x:c r="X227" s="72" t="n">
        <x:f>IFERROR(S227/Q227,0)</x:f>
        <x:v>19.854940528602604</x:v>
      </x:c>
      <x:c r="Y227" s="30" t="str">
        <x:v>Моделируемые данные Unitmetra</x:v>
      </x:c>
    </x:row>
    <x:row r="228">
      <x:c r="A228" s="48" t="str">
        <x:v>2026-01</x:v>
      </x:c>
      <x:c r="B228" s="48" t="str">
        <x:v>UM-038</x:v>
      </x:c>
      <x:c r="C228" s="48" t="str">
        <x:v>Свитер с воротом</x:v>
      </x:c>
      <x:c r="D228" s="48" t="str">
        <x:v>Трикотаж</x:v>
      </x:c>
      <x:c r="E228" s="56" t="n">
        <x:v>3700</x:v>
      </x:c>
      <x:c r="F228" s="64" t="n">
        <x:v>0.19338771907083174</x:v>
      </x:c>
      <x:c r="G228" s="56" t="n">
        <x:v>1365.1509005626156</x:v>
      </x:c>
      <x:c r="H228" s="64" t="n">
        <x:v>0.18503551765398998</x:v>
      </x:c>
      <x:c r="I228" s="56" t="n">
        <x:v>26</x:v>
      </x:c>
      <x:c r="J228" s="56" t="n">
        <x:v>9</x:v>
      </x:c>
      <x:c r="K228" s="56" t="n">
        <x:v>17</x:v>
      </x:c>
      <x:c r="L228" s="56" t="n">
        <x:v>2984.4654394379227</x:v>
      </x:c>
      <x:c r="M228" s="56" t="n">
        <x:v>2523.293971307259</x:v>
      </x:c>
      <x:c r="N228" s="56" t="n">
        <x:v>709.7918920817226</x:v>
      </x:c>
      <x:c r="O228" s="56" t="n">
        <x:v>683.6376533603686</x:v>
      </x:c>
      <x:c r="P228" s="56" t="n">
        <x:v>169.75022653020426</x:v>
      </x:c>
      <x:c r="Q228" s="56" t="n">
        <x:v>3670.7602138370576</x:v>
      </x:c>
      <x:c r="R228" s="68" t="n">
        <x:f>IFERROR(K228/I228,0)</x:f>
        <x:v>0.6538461538461539</x:v>
      </x:c>
      <x:c r="S228" s="60" t="n">
        <x:f>K228*L228</x:f>
        <x:v>50735.91247044469</x:v>
      </x:c>
      <x:c r="T228" s="60" t="n">
        <x:f>S228*H228</x:f>
        <x:v>9387.945827616259</x:v>
      </x:c>
      <x:c r="U228" s="60" t="n">
        <x:f>K228*G228</x:f>
        <x:v>23207.565309564463</x:v>
      </x:c>
      <x:c r="V228" s="60" t="n">
        <x:f>S228-T228-M228-N228-O228-P228-Q228-U228</x:f>
        <x:v>10383.167376147354</x:v>
      </x:c>
      <x:c r="W228" s="68" t="n">
        <x:f>IFERROR(V228/S228,0)</x:f>
        <x:v>0.2046512395375935</x:v>
      </x:c>
      <x:c r="X228" s="72" t="n">
        <x:f>IFERROR(S228/Q228,0)</x:f>
        <x:v>13.821636259212442</x:v>
      </x:c>
      <x:c r="Y228" s="30" t="str">
        <x:v>Моделируемые данные Unitmetra</x:v>
      </x:c>
    </x:row>
    <x:row r="229">
      <x:c r="A229" s="48" t="str">
        <x:v>2026-02</x:v>
      </x:c>
      <x:c r="B229" s="48" t="str">
        <x:v>UM-038</x:v>
      </x:c>
      <x:c r="C229" s="48" t="str">
        <x:v>Свитер с воротом</x:v>
      </x:c>
      <x:c r="D229" s="48" t="str">
        <x:v>Трикотаж</x:v>
      </x:c>
      <x:c r="E229" s="56" t="n">
        <x:v>3700</x:v>
      </x:c>
      <x:c r="F229" s="64" t="n">
        <x:v>0.17338771907083173</x:v>
      </x:c>
      <x:c r="G229" s="56" t="n">
        <x:v>1365.1509005626156</x:v>
      </x:c>
      <x:c r="H229" s="64" t="n">
        <x:v>0.18503551765398998</x:v>
      </x:c>
      <x:c r="I229" s="56" t="n">
        <x:v>33</x:v>
      </x:c>
      <x:c r="J229" s="56" t="n">
        <x:v>12</x:v>
      </x:c>
      <x:c r="K229" s="56" t="n">
        <x:v>21</x:v>
      </x:c>
      <x:c r="L229" s="56" t="n">
        <x:v>3058.4654394379227</x:v>
      </x:c>
      <x:c r="M229" s="56" t="n">
        <x:v>3518.08243459744</x:v>
      </x:c>
      <x:c r="N229" s="56" t="n">
        <x:v>906.6772629718077</x:v>
      </x:c>
      <x:c r="O229" s="56" t="n">
        <x:v>413.58572126724783</x:v>
      </x:c>
      <x:c r="P229" s="56" t="n">
        <x:v>0</x:v>
      </x:c>
      <x:c r="Q229" s="56" t="n">
        <x:v>3361.510487334725</x:v>
      </x:c>
      <x:c r="R229" s="68" t="n">
        <x:f>IFERROR(K229/I229,0)</x:f>
        <x:v>0.6363636363636364</x:v>
      </x:c>
      <x:c r="S229" s="60" t="n">
        <x:f>K229*L229</x:f>
        <x:v>64227.77422819637</x:v>
      </x:c>
      <x:c r="T229" s="60" t="n">
        <x:f>S229*H229</x:f>
        <x:v>11884.419452077913</x:v>
      </x:c>
      <x:c r="U229" s="60" t="n">
        <x:f>K229*G229</x:f>
        <x:v>28668.168911814926</x:v>
      </x:c>
      <x:c r="V229" s="60" t="n">
        <x:f>S229-T229-M229-N229-O229-P229-Q229-U229</x:f>
        <x:v>15475.329958132312</x:v>
      </x:c>
      <x:c r="W229" s="68" t="n">
        <x:f>IFERROR(V229/S229,0)</x:f>
        <x:v>0.24094451573472944</x:v>
      </x:c>
      <x:c r="X229" s="72" t="n">
        <x:f>IFERROR(S229/Q229,0)</x:f>
        <x:v>19.106819529550627</x:v>
      </x:c>
      <x:c r="Y229" s="30" t="str">
        <x:v>Моделируемые данные Unitmetra</x:v>
      </x:c>
    </x:row>
    <x:row r="230">
      <x:c r="A230" s="48" t="str">
        <x:v>2025-09</x:v>
      </x:c>
      <x:c r="B230" s="48" t="str">
        <x:v>UM-039</x:v>
      </x:c>
      <x:c r="C230" s="48" t="str">
        <x:v>Трикотажный топ</x:v>
      </x:c>
      <x:c r="D230" s="48" t="str">
        <x:v>Трикотаж</x:v>
      </x:c>
      <x:c r="E230" s="56" t="n">
        <x:v>2800</x:v>
      </x:c>
      <x:c r="F230" s="64" t="n">
        <x:v>0.1645781432307294</x:v>
      </x:c>
      <x:c r="G230" s="56" t="n">
        <x:v>794.8046613915593</x:v>
      </x:c>
      <x:c r="H230" s="64" t="n">
        <x:v>0.18193883932074909</x:v>
      </x:c>
      <x:c r="I230" s="56" t="n">
        <x:v>18</x:v>
      </x:c>
      <x:c r="J230" s="56" t="n">
        <x:v>7</x:v>
      </x:c>
      <x:c r="K230" s="56" t="n">
        <x:v>11</x:v>
      </x:c>
      <x:c r="L230" s="56" t="n">
        <x:v>2339.181198953958</x:v>
      </x:c>
      <x:c r="M230" s="56" t="n">
        <x:v>1659.9460409072424</x:v>
      </x:c>
      <x:c r="N230" s="56" t="n">
        <x:v>437.67910724757564</x:v>
      </x:c>
      <x:c r="O230" s="56" t="n">
        <x:v>299.65161493962665</x:v>
      </x:c>
      <x:c r="P230" s="56" t="n">
        <x:v>0</x:v>
      </x:c>
      <x:c r="Q230" s="56" t="n">
        <x:v>688.3662758393625</x:v>
      </x:c>
      <x:c r="R230" s="68" t="n">
        <x:f>IFERROR(K230/I230,0)</x:f>
        <x:v>0.6111111111111112</x:v>
      </x:c>
      <x:c r="S230" s="60" t="n">
        <x:f>K230*L230</x:f>
        <x:v>25730.993188493536</x:v>
      </x:c>
      <x:c r="T230" s="60" t="n">
        <x:f>S230*H230</x:f>
        <x:v>4681.467035284614</x:v>
      </x:c>
      <x:c r="U230" s="60" t="n">
        <x:f>K230*G230</x:f>
        <x:v>8742.851275307152</x:v>
      </x:c>
      <x:c r="V230" s="60" t="n">
        <x:f>S230-T230-M230-N230-O230-P230-Q230-U230</x:f>
        <x:v>9221.031838967963</x:v>
      </x:c>
      <x:c r="W230" s="68" t="n">
        <x:f>IFERROR(V230/S230,0)</x:f>
        <x:v>0.35836284170684296</x:v>
      </x:c>
      <x:c r="X230" s="72" t="n">
        <x:f>IFERROR(S230/Q230,0)</x:f>
        <x:v>37.37979923132976</x:v>
      </x:c>
      <x:c r="Y230" s="30" t="str">
        <x:v>Моделируемые данные Unitmetra</x:v>
      </x:c>
    </x:row>
    <x:row r="231">
      <x:c r="A231" s="48" t="str">
        <x:v>2025-10</x:v>
      </x:c>
      <x:c r="B231" s="48" t="str">
        <x:v>UM-039</x:v>
      </x:c>
      <x:c r="C231" s="48" t="str">
        <x:v>Трикотажный топ</x:v>
      </x:c>
      <x:c r="D231" s="48" t="str">
        <x:v>Трикотаж</x:v>
      </x:c>
      <x:c r="E231" s="56" t="n">
        <x:v>2800</x:v>
      </x:c>
      <x:c r="F231" s="64" t="n">
        <x:v>0.1745781432307293</x:v>
      </x:c>
      <x:c r="G231" s="56" t="n">
        <x:v>794.8046613915593</x:v>
      </x:c>
      <x:c r="H231" s="64" t="n">
        <x:v>0.18193883932074909</x:v>
      </x:c>
      <x:c r="I231" s="56" t="n">
        <x:v>22</x:v>
      </x:c>
      <x:c r="J231" s="56" t="n">
        <x:v>8</x:v>
      </x:c>
      <x:c r="K231" s="56" t="n">
        <x:v>14</x:v>
      </x:c>
      <x:c r="L231" s="56" t="n">
        <x:v>2311.181198953958</x:v>
      </x:c>
      <x:c r="M231" s="56" t="n">
        <x:v>2505.9464918382164</x:v>
      </x:c>
      <x:c r="N231" s="56" t="n">
        <x:v>497.00856129254214</x:v>
      </x:c>
      <x:c r="O231" s="56" t="n">
        <x:v>124.54341177759493</x:v>
      </x:c>
      <x:c r="P231" s="56" t="n">
        <x:v>0</x:v>
      </x:c>
      <x:c r="Q231" s="56" t="n">
        <x:v>1635.6134027461246</x:v>
      </x:c>
      <x:c r="R231" s="68" t="n">
        <x:f>IFERROR(K231/I231,0)</x:f>
        <x:v>0.6363636363636364</x:v>
      </x:c>
      <x:c r="S231" s="60" t="n">
        <x:f>K231*L231</x:f>
        <x:v>32356.53678535541</x:v>
      </x:c>
      <x:c r="T231" s="60" t="n">
        <x:f>S231*H231</x:f>
        <x:v>5886.910747166685</x:v>
      </x:c>
      <x:c r="U231" s="60" t="n">
        <x:f>K231*G231</x:f>
        <x:v>11127.26525948183</x:v>
      </x:c>
      <x:c r="V231" s="60" t="n">
        <x:f>S231-T231-M231-N231-O231-P231-Q231-U231</x:f>
        <x:v>10579.24891105242</x:v>
      </x:c>
      <x:c r="W231" s="68" t="n">
        <x:f>IFERROR(V231/S231,0)</x:f>
        <x:v>0.32695862913983414</x:v>
      </x:c>
      <x:c r="X231" s="72" t="n">
        <x:f>IFERROR(S231/Q231,0)</x:f>
        <x:v>19.782508954151496</x:v>
      </x:c>
      <x:c r="Y231" s="30" t="str">
        <x:v>Моделируемые данные Unitmetra</x:v>
      </x:c>
    </x:row>
    <x:row r="232">
      <x:c r="A232" s="48" t="str">
        <x:v>2025-11</x:v>
      </x:c>
      <x:c r="B232" s="48" t="str">
        <x:v>UM-039</x:v>
      </x:c>
      <x:c r="C232" s="48" t="str">
        <x:v>Трикотажный топ</x:v>
      </x:c>
      <x:c r="D232" s="48" t="str">
        <x:v>Трикотаж</x:v>
      </x:c>
      <x:c r="E232" s="56" t="n">
        <x:v>2800</x:v>
      </x:c>
      <x:c r="F232" s="64" t="n">
        <x:v>0.20457814323072954</x:v>
      </x:c>
      <x:c r="G232" s="56" t="n">
        <x:v>794.8046613915593</x:v>
      </x:c>
      <x:c r="H232" s="64" t="n">
        <x:v>0.18193883932074909</x:v>
      </x:c>
      <x:c r="I232" s="56" t="n">
        <x:v>37</x:v>
      </x:c>
      <x:c r="J232" s="56" t="n">
        <x:v>13</x:v>
      </x:c>
      <x:c r="K232" s="56" t="n">
        <x:v>24</x:v>
      </x:c>
      <x:c r="L232" s="56" t="n">
        <x:v>2227.1811989539574</x:v>
      </x:c>
      <x:c r="M232" s="56" t="n">
        <x:v>4067.1450194382414</x:v>
      </x:c>
      <x:c r="N232" s="56" t="n">
        <x:v>743.0262446779744</x:v>
      </x:c>
      <x:c r="O232" s="56" t="n">
        <x:v>367.87335340339035</x:v>
      </x:c>
      <x:c r="P232" s="56" t="n">
        <x:v>167.69420264790398</x:v>
      </x:c>
      <x:c r="Q232" s="56" t="n">
        <x:v>3288.2856143461886</x:v>
      </x:c>
      <x:c r="R232" s="68" t="n">
        <x:f>IFERROR(K232/I232,0)</x:f>
        <x:v>0.6486486486486487</x:v>
      </x:c>
      <x:c r="S232" s="60" t="n">
        <x:f>K232*L232</x:f>
        <x:v>53452.34877489498</x:v>
      </x:c>
      <x:c r="T232" s="60" t="n">
        <x:f>S232*H232</x:f>
        <x:v>9725.058295072256</x:v>
      </x:c>
      <x:c r="U232" s="60" t="n">
        <x:f>K232*G232</x:f>
        <x:v>19075.311873397422</x:v>
      </x:c>
      <x:c r="V232" s="60" t="n">
        <x:f>S232-T232-M232-N232-O232-P232-Q232-U232</x:f>
        <x:v>16017.954171911606</x:v>
      </x:c>
      <x:c r="W232" s="68" t="n">
        <x:f>IFERROR(V232/S232,0)</x:f>
        <x:v>0.2996679199143963</x:v>
      </x:c>
      <x:c r="X232" s="72" t="n">
        <x:f>IFERROR(S232/Q232,0)</x:f>
        <x:v>16.255385037629384</x:v>
      </x:c>
      <x:c r="Y232" s="30" t="str">
        <x:v>Моделируемые данные Unitmetra</x:v>
      </x:c>
    </x:row>
    <x:row r="233">
      <x:c r="A233" s="48" t="str">
        <x:v>2025-12</x:v>
      </x:c>
      <x:c r="B233" s="48" t="str">
        <x:v>UM-039</x:v>
      </x:c>
      <x:c r="C233" s="48" t="str">
        <x:v>Трикотажный топ</x:v>
      </x:c>
      <x:c r="D233" s="48" t="str">
        <x:v>Трикотаж</x:v>
      </x:c>
      <x:c r="E233" s="56" t="n">
        <x:v>2800</x:v>
      </x:c>
      <x:c r="F233" s="64" t="n">
        <x:v>0.22457814323072933</x:v>
      </x:c>
      <x:c r="G233" s="56" t="n">
        <x:v>794.8046613915593</x:v>
      </x:c>
      <x:c r="H233" s="64" t="n">
        <x:v>0.18193883932074909</x:v>
      </x:c>
      <x:c r="I233" s="56" t="n">
        <x:v>32</x:v>
      </x:c>
      <x:c r="J233" s="56" t="n">
        <x:v>11</x:v>
      </x:c>
      <x:c r="K233" s="56" t="n">
        <x:v>21</x:v>
      </x:c>
      <x:c r="L233" s="56" t="n">
        <x:v>2171.181198953958</x:v>
      </x:c>
      <x:c r="M233" s="56" t="n">
        <x:v>2718.6251427244993</x:v>
      </x:c>
      <x:c r="N233" s="56" t="n">
        <x:v>788.2343545670186</x:v>
      </x:c>
      <x:c r="O233" s="56" t="n">
        <x:v>505.6793623741352</x:v>
      </x:c>
      <x:c r="P233" s="56" t="n">
        <x:v>0</x:v>
      </x:c>
      <x:c r="Q233" s="56" t="n">
        <x:v>2465.164371075792</x:v>
      </x:c>
      <x:c r="R233" s="68" t="n">
        <x:f>IFERROR(K233/I233,0)</x:f>
        <x:v>0.65625</x:v>
      </x:c>
      <x:c r="S233" s="60" t="n">
        <x:f>K233*L233</x:f>
        <x:v>45594.805178033115</x:v>
      </x:c>
      <x:c r="T233" s="60" t="n">
        <x:f>S233*H233</x:f>
        <x:v>8295.465933147025</x:v>
      </x:c>
      <x:c r="U233" s="60" t="n">
        <x:f>K233*G233</x:f>
        <x:v>16690.897889222746</x:v>
      </x:c>
      <x:c r="V233" s="60" t="n">
        <x:f>S233-T233-M233-N233-O233-P233-Q233-U233</x:f>
        <x:v>14130.738124921903</x:v>
      </x:c>
      <x:c r="W233" s="68" t="n">
        <x:f>IFERROR(V233/S233,0)</x:f>
        <x:v>0.3099199145548686</x:v>
      </x:c>
      <x:c r="X233" s="72" t="n">
        <x:f>IFERROR(S233/Q233,0)</x:f>
        <x:v>18.495645042174466</x:v>
      </x:c>
      <x:c r="Y233" s="30" t="str">
        <x:v>Моделируемые данные Unitmetra</x:v>
      </x:c>
    </x:row>
    <x:row r="234">
      <x:c r="A234" s="48" t="str">
        <x:v>2026-01</x:v>
      </x:c>
      <x:c r="B234" s="48" t="str">
        <x:v>UM-039</x:v>
      </x:c>
      <x:c r="C234" s="48" t="str">
        <x:v>Трикотажный топ</x:v>
      </x:c>
      <x:c r="D234" s="48" t="str">
        <x:v>Трикотаж</x:v>
      </x:c>
      <x:c r="E234" s="56" t="n">
        <x:v>2800</x:v>
      </x:c>
      <x:c r="F234" s="64" t="n">
        <x:v>0.1945781432307293</x:v>
      </x:c>
      <x:c r="G234" s="56" t="n">
        <x:v>794.8046613915593</x:v>
      </x:c>
      <x:c r="H234" s="64" t="n">
        <x:v>0.18193883932074909</x:v>
      </x:c>
      <x:c r="I234" s="56" t="n">
        <x:v>20</x:v>
      </x:c>
      <x:c r="J234" s="56" t="n">
        <x:v>6</x:v>
      </x:c>
      <x:c r="K234" s="56" t="n">
        <x:v>14</x:v>
      </x:c>
      <x:c r="L234" s="56" t="n">
        <x:v>2255.181198953958</x:v>
      </x:c>
      <x:c r="M234" s="56" t="n">
        <x:v>2044.701923900609</x:v>
      </x:c>
      <x:c r="N234" s="56" t="n">
        <x:v>383.5341526368444</x:v>
      </x:c>
      <x:c r="O234" s="56" t="n">
        <x:v>529.6771221668617</x:v>
      </x:c>
      <x:c r="P234" s="56" t="n">
        <x:v>0</x:v>
      </x:c>
      <x:c r="Q234" s="56" t="n">
        <x:v>1865.5042878622191</x:v>
      </x:c>
      <x:c r="R234" s="68" t="n">
        <x:f>IFERROR(K234/I234,0)</x:f>
        <x:v>0.7</x:v>
      </x:c>
      <x:c r="S234" s="60" t="n">
        <x:f>K234*L234</x:f>
        <x:v>31572.53678535541</x:v>
      </x:c>
      <x:c r="T234" s="60" t="n">
        <x:f>S234*H234</x:f>
        <x:v>5744.270697139217</x:v>
      </x:c>
      <x:c r="U234" s="60" t="n">
        <x:f>K234*G234</x:f>
        <x:v>11127.26525948183</x:v>
      </x:c>
      <x:c r="V234" s="60" t="n">
        <x:f>S234-T234-M234-N234-O234-P234-Q234-U234</x:f>
        <x:v>9877.58334216783</x:v>
      </x:c>
      <x:c r="W234" s="68" t="n">
        <x:f>IFERROR(V234/S234,0)</x:f>
        <x:v>0.312853649021622</x:v>
      </x:c>
      <x:c r="X234" s="72" t="n">
        <x:f>IFERROR(S234/Q234,0)</x:f>
        <x:v>16.92439786430942</x:v>
      </x:c>
      <x:c r="Y234" s="30" t="str">
        <x:v>Моделируемые данные Unitmetra</x:v>
      </x:c>
    </x:row>
    <x:row r="235">
      <x:c r="A235" s="48" t="str">
        <x:v>2026-02</x:v>
      </x:c>
      <x:c r="B235" s="48" t="str">
        <x:v>UM-039</x:v>
      </x:c>
      <x:c r="C235" s="48" t="str">
        <x:v>Трикотажный топ</x:v>
      </x:c>
      <x:c r="D235" s="48" t="str">
        <x:v>Трикотаж</x:v>
      </x:c>
      <x:c r="E235" s="56" t="n">
        <x:v>2800</x:v>
      </x:c>
      <x:c r="F235" s="64" t="n">
        <x:v>0.1745781432307293</x:v>
      </x:c>
      <x:c r="G235" s="56" t="n">
        <x:v>794.8046613915593</x:v>
      </x:c>
      <x:c r="H235" s="64" t="n">
        <x:v>0.18193883932074909</x:v>
      </x:c>
      <x:c r="I235" s="56" t="n">
        <x:v>19</x:v>
      </x:c>
      <x:c r="J235" s="56" t="n">
        <x:v>7</x:v>
      </x:c>
      <x:c r="K235" s="56" t="n">
        <x:v>12</x:v>
      </x:c>
      <x:c r="L235" s="56" t="n">
        <x:v>2311.181198953958</x:v>
      </x:c>
      <x:c r="M235" s="56" t="n">
        <x:v>1890.2077191364804</x:v>
      </x:c>
      <x:c r="N235" s="56" t="n">
        <x:v>407.53028207998267</x:v>
      </x:c>
      <x:c r="O235" s="56" t="n">
        <x:v>230.10268678877827</x:v>
      </x:c>
      <x:c r="P235" s="56" t="n">
        <x:v>0</x:v>
      </x:c>
      <x:c r="Q235" s="56" t="n">
        <x:v>1616.2780820494925</x:v>
      </x:c>
      <x:c r="R235" s="68" t="n">
        <x:f>IFERROR(K235/I235,0)</x:f>
        <x:v>0.631578947368421</x:v>
      </x:c>
      <x:c r="S235" s="60" t="n">
        <x:f>K235*L235</x:f>
        <x:v>27734.174387447492</x:v>
      </x:c>
      <x:c r="T235" s="60" t="n">
        <x:f>S235*H235</x:f>
        <x:v>5045.923497571444</x:v>
      </x:c>
      <x:c r="U235" s="60" t="n">
        <x:f>K235*G235</x:f>
        <x:v>9537.655936698711</x:v>
      </x:c>
      <x:c r="V235" s="60" t="n">
        <x:f>S235-T235-M235-N235-O235-P235-Q235-U235</x:f>
        <x:v>9006.476183122604</x:v>
      </x:c>
      <x:c r="W235" s="68" t="n">
        <x:f>IFERROR(V235/S235,0)</x:f>
        <x:v>0.3247428986816691</x:v>
      </x:c>
      <x:c r="X235" s="72" t="n">
        <x:f>IFERROR(S235/Q235,0)</x:f>
        <x:v>17.159283848160378</x:v>
      </x:c>
      <x:c r="Y235" s="30" t="str">
        <x:v>Моделируемые данные Unitmetra</x:v>
      </x:c>
    </x:row>
    <x:row r="236">
      <x:c r="A236" s="48" t="str">
        <x:v>2025-09</x:v>
      </x:c>
      <x:c r="B236" s="48" t="str">
        <x:v>UM-040</x:v>
      </x:c>
      <x:c r="C236" s="48" t="str">
        <x:v>Пуловер V-neck</x:v>
      </x:c>
      <x:c r="D236" s="48" t="str">
        <x:v>Трикотаж</x:v>
      </x:c>
      <x:c r="E236" s="56" t="n">
        <x:v>3700</x:v>
      </x:c>
      <x:c r="F236" s="64" t="n">
        <x:v>0.24891432428792104</x:v>
      </x:c>
      <x:c r="G236" s="56" t="n">
        <x:v>1141.8611160727887</x:v>
      </x:c>
      <x:c r="H236" s="64" t="n">
        <x:v>0.19765841829577804</x:v>
      </x:c>
      <x:c r="I236" s="56" t="n">
        <x:v>34</x:v>
      </x:c>
      <x:c r="J236" s="56" t="n">
        <x:v>8</x:v>
      </x:c>
      <x:c r="K236" s="56" t="n">
        <x:v>26</x:v>
      </x:c>
      <x:c r="L236" s="56" t="n">
        <x:v>2779.0170001346924</x:v>
      </x:c>
      <x:c r="M236" s="56" t="n">
        <x:v>3760.836864556546</x:v>
      </x:c>
      <x:c r="N236" s="56" t="n">
        <x:v>463.2642900294353</x:v>
      </x:c>
      <x:c r="O236" s="56" t="n">
        <x:v>570.6891300993801</x:v>
      </x:c>
      <x:c r="P236" s="56" t="n">
        <x:v>0</x:v>
      </x:c>
      <x:c r="Q236" s="56" t="n">
        <x:v>2727.8834439731804</x:v>
      </x:c>
      <x:c r="R236" s="68" t="n">
        <x:f>IFERROR(K236/I236,0)</x:f>
        <x:v>0.7647058823529411</x:v>
      </x:c>
      <x:c r="S236" s="60" t="n">
        <x:f>K236*L236</x:f>
        <x:v>72254.442003502</x:v>
      </x:c>
      <x:c r="T236" s="60" t="n">
        <x:f>S236*H236</x:f>
        <x:v>14281.698721256233</x:v>
      </x:c>
      <x:c r="U236" s="60" t="n">
        <x:f>K236*G236</x:f>
        <x:v>29688.389017892507</x:v>
      </x:c>
      <x:c r="V236" s="60" t="n">
        <x:f>S236-T236-M236-N236-O236-P236-Q236-U236</x:f>
        <x:v>20761.680535694722</x:v>
      </x:c>
      <x:c r="W236" s="68" t="n">
        <x:f>IFERROR(V236/S236,0)</x:f>
        <x:v>0.2873412341166299</x:v>
      </x:c>
      <x:c r="X236" s="72" t="n">
        <x:f>IFERROR(S236/Q236,0)</x:f>
        <x:v>26.48736410022817</x:v>
      </x:c>
      <x:c r="Y236" s="30" t="str">
        <x:v>Моделируемые данные Unitmetra</x:v>
      </x:c>
    </x:row>
    <x:row r="237">
      <x:c r="A237" s="48" t="str">
        <x:v>2025-10</x:v>
      </x:c>
      <x:c r="B237" s="48" t="str">
        <x:v>UM-040</x:v>
      </x:c>
      <x:c r="C237" s="48" t="str">
        <x:v>Пуловер V-neck</x:v>
      </x:c>
      <x:c r="D237" s="48" t="str">
        <x:v>Трикотаж</x:v>
      </x:c>
      <x:c r="E237" s="56" t="n">
        <x:v>3700</x:v>
      </x:c>
      <x:c r="F237" s="64" t="n">
        <x:v>0.25891432428792116</x:v>
      </x:c>
      <x:c r="G237" s="56" t="n">
        <x:v>1141.8611160727887</x:v>
      </x:c>
      <x:c r="H237" s="64" t="n">
        <x:v>0.19765841829577804</x:v>
      </x:c>
      <x:c r="I237" s="56" t="n">
        <x:v>46</x:v>
      </x:c>
      <x:c r="J237" s="56" t="n">
        <x:v>11</x:v>
      </x:c>
      <x:c r="K237" s="56" t="n">
        <x:v>35</x:v>
      </x:c>
      <x:c r="L237" s="56" t="n">
        <x:v>2742.017000134692</x:v>
      </x:c>
      <x:c r="M237" s="56" t="n">
        <x:v>5203.884048580378</x:v>
      </x:c>
      <x:c r="N237" s="56" t="n">
        <x:v>842.0556858471411</x:v>
      </x:c>
      <x:c r="O237" s="56" t="n">
        <x:v>692.4892867145005</x:v>
      </x:c>
      <x:c r="P237" s="56" t="n">
        <x:v>0</x:v>
      </x:c>
      <x:c r="Q237" s="56" t="n">
        <x:v>2605.634563771095</x:v>
      </x:c>
      <x:c r="R237" s="68" t="n">
        <x:f>IFERROR(K237/I237,0)</x:f>
        <x:v>0.7608695652173914</x:v>
      </x:c>
      <x:c r="S237" s="60" t="n">
        <x:f>K237*L237</x:f>
        <x:v>95970.59500471421</x:v>
      </x:c>
      <x:c r="T237" s="60" t="n">
        <x:f>S237*H237</x:f>
        <x:v>18969.396011536508</x:v>
      </x:c>
      <x:c r="U237" s="60" t="n">
        <x:f>K237*G237</x:f>
        <x:v>39965.139062547605</x:v>
      </x:c>
      <x:c r="V237" s="60" t="n">
        <x:f>S237-T237-M237-N237-O237-P237-Q237-U237</x:f>
        <x:v>27691.996345716994</x:v>
      </x:c>
      <x:c r="W237" s="68" t="n">
        <x:f>IFERROR(V237/S237,0)</x:f>
        <x:v>0.28854667770223497</x:v>
      </x:c>
      <x:c r="X237" s="72" t="n">
        <x:f>IFERROR(S237/Q237,0)</x:f>
        <x:v>36.83194732641918</x:v>
      </x:c>
      <x:c r="Y237" s="30" t="str">
        <x:v>Моделируемые данные Unitmetra</x:v>
      </x:c>
    </x:row>
    <x:row r="238">
      <x:c r="A238" s="48" t="str">
        <x:v>2025-11</x:v>
      </x:c>
      <x:c r="B238" s="48" t="str">
        <x:v>UM-040</x:v>
      </x:c>
      <x:c r="C238" s="48" t="str">
        <x:v>Пуловер V-neck</x:v>
      </x:c>
      <x:c r="D238" s="48" t="str">
        <x:v>Трикотаж</x:v>
      </x:c>
      <x:c r="E238" s="56" t="n">
        <x:v>3700</x:v>
      </x:c>
      <x:c r="F238" s="64" t="n">
        <x:v>0.2889143242879211</x:v>
      </x:c>
      <x:c r="G238" s="56" t="n">
        <x:v>1141.8611160727887</x:v>
      </x:c>
      <x:c r="H238" s="64" t="n">
        <x:v>0.19765841829577804</x:v>
      </x:c>
      <x:c r="I238" s="56" t="n">
        <x:v>55</x:v>
      </x:c>
      <x:c r="J238" s="56" t="n">
        <x:v>14</x:v>
      </x:c>
      <x:c r="K238" s="56" t="n">
        <x:v>41</x:v>
      </x:c>
      <x:c r="L238" s="56" t="n">
        <x:v>2631.017000134692</x:v>
      </x:c>
      <x:c r="M238" s="56" t="n">
        <x:v>5361.681692839562</x:v>
      </x:c>
      <x:c r="N238" s="56" t="n">
        <x:v>1087.5707400920912</x:v>
      </x:c>
      <x:c r="O238" s="56" t="n">
        <x:v>385.24647217719087</x:v>
      </x:c>
      <x:c r="P238" s="56" t="n">
        <x:v>0</x:v>
      </x:c>
      <x:c r="Q238" s="56" t="n">
        <x:v>2513.2505050325276</x:v>
      </x:c>
      <x:c r="R238" s="68" t="n">
        <x:f>IFERROR(K238/I238,0)</x:f>
        <x:v>0.7454545454545455</x:v>
      </x:c>
      <x:c r="S238" s="60" t="n">
        <x:f>K238*L238</x:f>
        <x:v>107871.69700552236</x:v>
      </x:c>
      <x:c r="T238" s="60" t="n">
        <x:f>S238*H238</x:f>
        <x:v>21321.749008992967</x:v>
      </x:c>
      <x:c r="U238" s="60" t="n">
        <x:f>K238*G238</x:f>
        <x:v>46816.30575898434</x:v>
      </x:c>
      <x:c r="V238" s="60" t="n">
        <x:f>S238-T238-M238-N238-O238-P238-Q238-U238</x:f>
        <x:v>30385.892827403688</x:v>
      </x:c>
      <x:c r="W238" s="68" t="n">
        <x:f>IFERROR(V238/S238,0)</x:f>
        <x:v>0.28168549926351966</x:v>
      </x:c>
      <x:c r="X238" s="72" t="n">
        <x:f>IFERROR(S238/Q238,0)</x:f>
        <x:v>42.92118783603954</x:v>
      </x:c>
      <x:c r="Y238" s="30" t="str">
        <x:v>Моделируемые данные Unitmetra</x:v>
      </x:c>
    </x:row>
    <x:row r="239">
      <x:c r="A239" s="48" t="str">
        <x:v>2025-12</x:v>
      </x:c>
      <x:c r="B239" s="48" t="str">
        <x:v>UM-040</x:v>
      </x:c>
      <x:c r="C239" s="48" t="str">
        <x:v>Пуловер V-neck</x:v>
      </x:c>
      <x:c r="D239" s="48" t="str">
        <x:v>Трикотаж</x:v>
      </x:c>
      <x:c r="E239" s="56" t="n">
        <x:v>3700</x:v>
      </x:c>
      <x:c r="F239" s="64" t="n">
        <x:v>0.308914324287921</x:v>
      </x:c>
      <x:c r="G239" s="56" t="n">
        <x:v>1141.8611160727887</x:v>
      </x:c>
      <x:c r="H239" s="64" t="n">
        <x:v>0.19765841829577804</x:v>
      </x:c>
      <x:c r="I239" s="56" t="n">
        <x:v>64</x:v>
      </x:c>
      <x:c r="J239" s="56" t="n">
        <x:v>15</x:v>
      </x:c>
      <x:c r="K239" s="56" t="n">
        <x:v>49</x:v>
      </x:c>
      <x:c r="L239" s="56" t="n">
        <x:v>2557.0170001346924</x:v>
      </x:c>
      <x:c r="M239" s="56" t="n">
        <x:v>5245.629562174139</x:v>
      </x:c>
      <x:c r="N239" s="56" t="n">
        <x:v>1006.924405348702</x:v>
      </x:c>
      <x:c r="O239" s="56" t="n">
        <x:v>858.7045150057297</x:v>
      </x:c>
      <x:c r="P239" s="56" t="n">
        <x:v>0</x:v>
      </x:c>
      <x:c r="Q239" s="56" t="n">
        <x:v>4403.859287090906</x:v>
      </x:c>
      <x:c r="R239" s="68" t="n">
        <x:f>IFERROR(K239/I239,0)</x:f>
        <x:v>0.765625</x:v>
      </x:c>
      <x:c r="S239" s="60" t="n">
        <x:f>K239*L239</x:f>
        <x:v>125293.83300659992</x:v>
      </x:c>
      <x:c r="T239" s="60" t="n">
        <x:f>S239*H239</x:f>
        <x:v>24765.38085429989</x:v>
      </x:c>
      <x:c r="U239" s="60" t="n">
        <x:f>K239*G239</x:f>
        <x:v>55951.19468756665</x:v>
      </x:c>
      <x:c r="V239" s="60" t="n">
        <x:f>S239-T239-M239-N239-O239-P239-Q239-U239</x:f>
        <x:v>33062.1396951139</x:v>
      </x:c>
      <x:c r="W239" s="68" t="n">
        <x:f>IFERROR(V239/S239,0)</x:f>
        <x:v>0.2638768317780839</x:v>
      </x:c>
      <x:c r="X239" s="72" t="n">
        <x:f>IFERROR(S239/Q239,0)</x:f>
        <x:v>28.4509165344759</x:v>
      </x:c>
      <x:c r="Y239" s="30" t="str">
        <x:v>Моделируемые данные Unitmetra</x:v>
      </x:c>
    </x:row>
    <x:row r="240">
      <x:c r="A240" s="48" t="str">
        <x:v>2026-01</x:v>
      </x:c>
      <x:c r="B240" s="48" t="str">
        <x:v>UM-040</x:v>
      </x:c>
      <x:c r="C240" s="48" t="str">
        <x:v>Пуловер V-neck</x:v>
      </x:c>
      <x:c r="D240" s="48" t="str">
        <x:v>Трикотаж</x:v>
      </x:c>
      <x:c r="E240" s="56" t="n">
        <x:v>3700</x:v>
      </x:c>
      <x:c r="F240" s="64" t="n">
        <x:v>0.27891432428792107</x:v>
      </x:c>
      <x:c r="G240" s="56" t="n">
        <x:v>1141.8611160727887</x:v>
      </x:c>
      <x:c r="H240" s="64" t="n">
        <x:v>0.19765841829577804</x:v>
      </x:c>
      <x:c r="I240" s="56" t="n">
        <x:v>47</x:v>
      </x:c>
      <x:c r="J240" s="56" t="n">
        <x:v>11</x:v>
      </x:c>
      <x:c r="K240" s="56" t="n">
        <x:v>36</x:v>
      </x:c>
      <x:c r="L240" s="56" t="n">
        <x:v>2668.017000134692</x:v>
      </x:c>
      <x:c r="M240" s="56" t="n">
        <x:v>4934.5499932070325</x:v>
      </x:c>
      <x:c r="N240" s="56" t="n">
        <x:v>782.3775286372775</x:v>
      </x:c>
      <x:c r="O240" s="56" t="n">
        <x:v>381.7950620460085</x:v>
      </x:c>
      <x:c r="P240" s="56" t="n">
        <x:v>0</x:v>
      </x:c>
      <x:c r="Q240" s="56" t="n">
        <x:v>3184.267732392908</x:v>
      </x:c>
      <x:c r="R240" s="68" t="n">
        <x:f>IFERROR(K240/I240,0)</x:f>
        <x:v>0.7659574468085106</x:v>
      </x:c>
      <x:c r="S240" s="60" t="n">
        <x:f>K240*L240</x:f>
        <x:v>96048.61200484891</x:v>
      </x:c>
      <x:c r="T240" s="60" t="n">
        <x:f>S240*H240</x:f>
        <x:v>18984.816728383314</x:v>
      </x:c>
      <x:c r="U240" s="60" t="n">
        <x:f>K240*G240</x:f>
        <x:v>41107.000178620394</x:v>
      </x:c>
      <x:c r="V240" s="60" t="n">
        <x:f>S240-T240-M240-N240-O240-P240-Q240-U240</x:f>
        <x:v>26673.804781561965</x:v>
      </x:c>
      <x:c r="W240" s="68" t="n">
        <x:f>IFERROR(V240/S240,0)</x:f>
        <x:v>0.2777115069629051</x:v>
      </x:c>
      <x:c r="X240" s="72" t="n">
        <x:f>IFERROR(S240/Q240,0)</x:f>
        <x:v>30.16348500717007</x:v>
      </x:c>
      <x:c r="Y240" s="30" t="str">
        <x:v>Моделируемые данные Unitmetra</x:v>
      </x:c>
    </x:row>
    <x:row r="241">
      <x:c r="A241" s="48" t="str">
        <x:v>2026-02</x:v>
      </x:c>
      <x:c r="B241" s="48" t="str">
        <x:v>UM-040</x:v>
      </x:c>
      <x:c r="C241" s="48" t="str">
        <x:v>Пуловер V-neck</x:v>
      </x:c>
      <x:c r="D241" s="48" t="str">
        <x:v>Трикотаж</x:v>
      </x:c>
      <x:c r="E241" s="56" t="n">
        <x:v>3700</x:v>
      </x:c>
      <x:c r="F241" s="64" t="n">
        <x:v>0.25891432428792116</x:v>
      </x:c>
      <x:c r="G241" s="56" t="n">
        <x:v>1141.8611160727887</x:v>
      </x:c>
      <x:c r="H241" s="64" t="n">
        <x:v>0.19765841829577804</x:v>
      </x:c>
      <x:c r="I241" s="56" t="n">
        <x:v>35</x:v>
      </x:c>
      <x:c r="J241" s="56" t="n">
        <x:v>8</x:v>
      </x:c>
      <x:c r="K241" s="56" t="n">
        <x:v>27</x:v>
      </x:c>
      <x:c r="L241" s="56" t="n">
        <x:v>2742.017000134692</x:v>
      </x:c>
      <x:c r="M241" s="56" t="n">
        <x:v>2926.5713098606566</x:v>
      </x:c>
      <x:c r="N241" s="56" t="n">
        <x:v>582.1459881066571</x:v>
      </x:c>
      <x:c r="O241" s="56" t="n">
        <x:v>1075.7662789027784</x:v>
      </x:c>
      <x:c r="P241" s="56" t="n">
        <x:v>0</x:v>
      </x:c>
      <x:c r="Q241" s="56" t="n">
        <x:v>1896.8457071351459</x:v>
      </x:c>
      <x:c r="R241" s="68" t="n">
        <x:f>IFERROR(K241/I241,0)</x:f>
        <x:v>0.7714285714285715</x:v>
      </x:c>
      <x:c r="S241" s="60" t="n">
        <x:f>K241*L241</x:f>
        <x:v>74034.45900363669</x:v>
      </x:c>
      <x:c r="T241" s="60" t="n">
        <x:f>S241*H241</x:f>
        <x:v>14633.534066042452</x:v>
      </x:c>
      <x:c r="U241" s="60" t="n">
        <x:f>K241*G241</x:f>
        <x:v>30830.250133965295</x:v>
      </x:c>
      <x:c r="V241" s="60" t="n">
        <x:f>S241-T241-M241-N241-O241-P241-Q241-U241</x:f>
        <x:v>22089.345519623697</x:v>
      </x:c>
      <x:c r="W241" s="68" t="n">
        <x:f>IFERROR(V241/S241,0)</x:f>
        <x:v>0.298365731537778</x:v>
      </x:c>
      <x:c r="X241" s="72" t="n">
        <x:f>IFERROR(S241/Q241,0)</x:f>
        <x:v>39.03030105461387</x:v>
      </x:c>
      <x:c r="Y241" s="30" t="str">
        <x:v>Моделируемые данные Unitmetra</x:v>
      </x:c>
    </x:row>
    <x:row r="242">
      <x:c r="A242" s="48" t="str">
        <x:v>2025-09</x:v>
      </x:c>
      <x:c r="B242" s="48" t="str">
        <x:v>UM-041</x:v>
      </x:c>
      <x:c r="C242" s="48" t="str">
        <x:v>Жилет трикотажный</x:v>
      </x:c>
      <x:c r="D242" s="48" t="str">
        <x:v>Трикотаж</x:v>
      </x:c>
      <x:c r="E242" s="56" t="n">
        <x:v>2100</x:v>
      </x:c>
      <x:c r="F242" s="64" t="n">
        <x:v>0.16903974553544387</x:v>
      </x:c>
      <x:c r="G242" s="56" t="n">
        <x:v>626.6597075183078</x:v>
      </x:c>
      <x:c r="H242" s="64" t="n">
        <x:v>0.19999314281099703</x:v>
      </x:c>
      <x:c r="I242" s="56" t="n">
        <x:v>23</x:v>
      </x:c>
      <x:c r="J242" s="56" t="n">
        <x:v>7</x:v>
      </x:c>
      <x:c r="K242" s="56" t="n">
        <x:v>16</x:v>
      </x:c>
      <x:c r="L242" s="56" t="n">
        <x:v>1745.016534375568</x:v>
      </x:c>
      <x:c r="M242" s="56" t="n">
        <x:v>2250.5500194684046</x:v>
      </x:c>
      <x:c r="N242" s="56" t="n">
        <x:v>566.4627543012225</x:v>
      </x:c>
      <x:c r="O242" s="56" t="n">
        <x:v>423.10803125880693</x:v>
      </x:c>
      <x:c r="P242" s="56" t="n">
        <x:v>86.7663627595582</x:v>
      </x:c>
      <x:c r="Q242" s="56" t="n">
        <x:v>871.2380078119754</x:v>
      </x:c>
      <x:c r="R242" s="68" t="n">
        <x:f>IFERROR(K242/I242,0)</x:f>
        <x:v>0.6956521739130435</x:v>
      </x:c>
      <x:c r="S242" s="60" t="n">
        <x:f>K242*L242</x:f>
        <x:v>27920.264550009088</x:v>
      </x:c>
      <x:c r="T242" s="60" t="n">
        <x:f>S242*H242</x:f>
        <x:v>5583.861455470786</x:v>
      </x:c>
      <x:c r="U242" s="60" t="n">
        <x:f>K242*G242</x:f>
        <x:v>10026.555320292924</x:v>
      </x:c>
      <x:c r="V242" s="60" t="n">
        <x:f>S242-T242-M242-N242-O242-P242-Q242-U242</x:f>
        <x:v>8111.722598645416</x:v>
      </x:c>
      <x:c r="W242" s="68" t="n">
        <x:f>IFERROR(V242/S242,0)</x:f>
        <x:v>0.2905317241574194</x:v>
      </x:c>
      <x:c r="X242" s="72" t="n">
        <x:f>IFERROR(S242/Q242,0)</x:f>
        <x:v>32.046655792861884</x:v>
      </x:c>
      <x:c r="Y242" s="30" t="str">
        <x:v>Моделируемые данные Unitmetra</x:v>
      </x:c>
    </x:row>
    <x:row r="243">
      <x:c r="A243" s="48" t="str">
        <x:v>2025-10</x:v>
      </x:c>
      <x:c r="B243" s="48" t="str">
        <x:v>UM-041</x:v>
      </x:c>
      <x:c r="C243" s="48" t="str">
        <x:v>Жилет трикотажный</x:v>
      </x:c>
      <x:c r="D243" s="48" t="str">
        <x:v>Трикотаж</x:v>
      </x:c>
      <x:c r="E243" s="56" t="n">
        <x:v>2100</x:v>
      </x:c>
      <x:c r="F243" s="64" t="n">
        <x:v>0.17903974553544388</x:v>
      </x:c>
      <x:c r="G243" s="56" t="n">
        <x:v>626.6597075183078</x:v>
      </x:c>
      <x:c r="H243" s="64" t="n">
        <x:v>0.19999314281099703</x:v>
      </x:c>
      <x:c r="I243" s="56" t="n">
        <x:v>35</x:v>
      </x:c>
      <x:c r="J243" s="56" t="n">
        <x:v>11</x:v>
      </x:c>
      <x:c r="K243" s="56" t="n">
        <x:v>24</x:v>
      </x:c>
      <x:c r="L243" s="56" t="n">
        <x:v>1724.0165343755677</x:v>
      </x:c>
      <x:c r="M243" s="56" t="n">
        <x:v>3507.2147528022483</x:v>
      </x:c>
      <x:c r="N243" s="56" t="n">
        <x:v>682.4972538755462</x:v>
      </x:c>
      <x:c r="O243" s="56" t="n">
        <x:v>493.3399816860483</x:v>
      </x:c>
      <x:c r="P243" s="56" t="n">
        <x:v>0</x:v>
      </x:c>
      <x:c r="Q243" s="56" t="n">
        <x:v>1417.3672464954514</x:v>
      </x:c>
      <x:c r="R243" s="68" t="n">
        <x:f>IFERROR(K243/I243,0)</x:f>
        <x:v>0.6857142857142857</x:v>
      </x:c>
      <x:c r="S243" s="60" t="n">
        <x:f>K243*L243</x:f>
        <x:v>41376.396825013624</x:v>
      </x:c>
      <x:c r="T243" s="60" t="n">
        <x:f>S243*H243</x:f>
        <x:v>8274.995639229433</x:v>
      </x:c>
      <x:c r="U243" s="60" t="n">
        <x:f>K243*G243</x:f>
        <x:v>15039.832980439387</x:v>
      </x:c>
      <x:c r="V243" s="60" t="n">
        <x:f>S243-T243-M243-N243-O243-P243-Q243-U243</x:f>
        <x:v>11961.148970485512</x:v>
      </x:c>
      <x:c r="W243" s="68" t="n">
        <x:f>IFERROR(V243/S243,0)</x:f>
        <x:v>0.2890814543632407</x:v>
      </x:c>
      <x:c r="X243" s="72" t="n">
        <x:f>IFERROR(S243/Q243,0)</x:f>
        <x:v>29.192431903107625</x:v>
      </x:c>
      <x:c r="Y243" s="30" t="str">
        <x:v>Моделируемые данные Unitmetra</x:v>
      </x:c>
    </x:row>
    <x:row r="244">
      <x:c r="A244" s="48" t="str">
        <x:v>2025-11</x:v>
      </x:c>
      <x:c r="B244" s="48" t="str">
        <x:v>UM-041</x:v>
      </x:c>
      <x:c r="C244" s="48" t="str">
        <x:v>Жилет трикотажный</x:v>
      </x:c>
      <x:c r="D244" s="48" t="str">
        <x:v>Трикотаж</x:v>
      </x:c>
      <x:c r="E244" s="56" t="n">
        <x:v>2100</x:v>
      </x:c>
      <x:c r="F244" s="64" t="n">
        <x:v>0.2090397455354438</x:v>
      </x:c>
      <x:c r="G244" s="56" t="n">
        <x:v>626.6597075183078</x:v>
      </x:c>
      <x:c r="H244" s="64" t="n">
        <x:v>0.19999314281099703</x:v>
      </x:c>
      <x:c r="I244" s="56" t="n">
        <x:v>40</x:v>
      </x:c>
      <x:c r="J244" s="56" t="n">
        <x:v>13</x:v>
      </x:c>
      <x:c r="K244" s="56" t="n">
        <x:v>27</x:v>
      </x:c>
      <x:c r="L244" s="56" t="n">
        <x:v>1661.016534375568</x:v>
      </x:c>
      <x:c r="M244" s="56" t="n">
        <x:v>3377.3132315179264</x:v>
      </x:c>
      <x:c r="N244" s="56" t="n">
        <x:v>952.3773035244457</x:v>
      </x:c>
      <x:c r="O244" s="56" t="n">
        <x:v>276.8397007437054</x:v>
      </x:c>
      <x:c r="P244" s="56" t="n">
        <x:v>0</x:v>
      </x:c>
      <x:c r="Q244" s="56" t="n">
        <x:v>1753.8638802488892</x:v>
      </x:c>
      <x:c r="R244" s="68" t="n">
        <x:f>IFERROR(K244/I244,0)</x:f>
        <x:v>0.675</x:v>
      </x:c>
      <x:c r="S244" s="60" t="n">
        <x:f>K244*L244</x:f>
        <x:v>44847.446428140334</x:v>
      </x:c>
      <x:c r="T244" s="60" t="n">
        <x:f>S244*H244</x:f>
        <x:v>8969.18175821161</x:v>
      </x:c>
      <x:c r="U244" s="60" t="n">
        <x:f>K244*G244</x:f>
        <x:v>16919.81210299431</x:v>
      </x:c>
      <x:c r="V244" s="60" t="n">
        <x:f>S244-T244-M244-N244-O244-P244-Q244-U244</x:f>
        <x:v>12598.058450899454</x:v>
      </x:c>
      <x:c r="W244" s="68" t="n">
        <x:f>IFERROR(V244/S244,0)</x:f>
        <x:v>0.2809091588098665</x:v>
      </x:c>
      <x:c r="X244" s="72" t="n">
        <x:f>IFERROR(S244/Q244,0)</x:f>
        <x:v>25.570653990420325</x:v>
      </x:c>
      <x:c r="Y244" s="30" t="str">
        <x:v>Моделируемые данные Unitmetra</x:v>
      </x:c>
    </x:row>
    <x:row r="245">
      <x:c r="A245" s="48" t="str">
        <x:v>2025-12</x:v>
      </x:c>
      <x:c r="B245" s="48" t="str">
        <x:v>UM-041</x:v>
      </x:c>
      <x:c r="C245" s="48" t="str">
        <x:v>Жилет трикотажный</x:v>
      </x:c>
      <x:c r="D245" s="48" t="str">
        <x:v>Трикотаж</x:v>
      </x:c>
      <x:c r="E245" s="56" t="n">
        <x:v>2100</x:v>
      </x:c>
      <x:c r="F245" s="64" t="n">
        <x:v>0.22903974553544382</x:v>
      </x:c>
      <x:c r="G245" s="56" t="n">
        <x:v>626.6597075183078</x:v>
      </x:c>
      <x:c r="H245" s="64" t="n">
        <x:v>0.19999314281099703</x:v>
      </x:c>
      <x:c r="I245" s="56" t="n">
        <x:v>45</x:v>
      </x:c>
      <x:c r="J245" s="56" t="n">
        <x:v>17</x:v>
      </x:c>
      <x:c r="K245" s="56" t="n">
        <x:v>28</x:v>
      </x:c>
      <x:c r="L245" s="56" t="n">
        <x:v>1619.016534375568</x:v>
      </x:c>
      <x:c r="M245" s="56" t="n">
        <x:v>4594.055616619217</x:v>
      </x:c>
      <x:c r="N245" s="56" t="n">
        <x:v>1042.9879624158239</x:v>
      </x:c>
      <x:c r="O245" s="56" t="n">
        <x:v>296.4862110413205</x:v>
      </x:c>
      <x:c r="P245" s="56" t="n">
        <x:v>0</x:v>
      </x:c>
      <x:c r="Q245" s="56" t="n">
        <x:v>2508.21503276484</x:v>
      </x:c>
      <x:c r="R245" s="68" t="n">
        <x:f>IFERROR(K245/I245,0)</x:f>
        <x:v>0.6222222222222222</x:v>
      </x:c>
      <x:c r="S245" s="60" t="n">
        <x:f>K245*L245</x:f>
        <x:v>45332.4629625159</x:v>
      </x:c>
      <x:c r="T245" s="60" t="n">
        <x:f>S245*H245</x:f>
        <x:v>9066.181739236676</x:v>
      </x:c>
      <x:c r="U245" s="60" t="n">
        <x:f>K245*G245</x:f>
        <x:v>17546.471810512616</x:v>
      </x:c>
      <x:c r="V245" s="60" t="n">
        <x:f>S245-T245-M245-N245-O245-P245-Q245-U245</x:f>
        <x:v>10278.064589925401</x:v>
      </x:c>
      <x:c r="W245" s="68" t="n">
        <x:f>IFERROR(V245/S245,0)</x:f>
        <x:v>0.2267263660133365</x:v>
      </x:c>
      <x:c r="X245" s="72" t="n">
        <x:f>IFERROR(S245/Q245,0)</x:f>
        <x:v>18.07359511458844</x:v>
      </x:c>
      <x:c r="Y245" s="30" t="str">
        <x:v>Моделируемые данные Unitmetra</x:v>
      </x:c>
    </x:row>
    <x:row r="246">
      <x:c r="A246" s="48" t="str">
        <x:v>2026-01</x:v>
      </x:c>
      <x:c r="B246" s="48" t="str">
        <x:v>UM-041</x:v>
      </x:c>
      <x:c r="C246" s="48" t="str">
        <x:v>Жилет трикотажный</x:v>
      </x:c>
      <x:c r="D246" s="48" t="str">
        <x:v>Трикотаж</x:v>
      </x:c>
      <x:c r="E246" s="56" t="n">
        <x:v>2100</x:v>
      </x:c>
      <x:c r="F246" s="64" t="n">
        <x:v>0.1990397455354439</x:v>
      </x:c>
      <x:c r="G246" s="56" t="n">
        <x:v>626.6597075183078</x:v>
      </x:c>
      <x:c r="H246" s="64" t="n">
        <x:v>0.19999314281099703</x:v>
      </x:c>
      <x:c r="I246" s="56" t="n">
        <x:v>32</x:v>
      </x:c>
      <x:c r="J246" s="56" t="n">
        <x:v>12</x:v>
      </x:c>
      <x:c r="K246" s="56" t="n">
        <x:v>20</x:v>
      </x:c>
      <x:c r="L246" s="56" t="n">
        <x:v>1682.0165343755677</x:v>
      </x:c>
      <x:c r="M246" s="56" t="n">
        <x:v>2914.8136194694907</x:v>
      </x:c>
      <x:c r="N246" s="56" t="n">
        <x:v>679.1970305760026</x:v>
      </x:c>
      <x:c r="O246" s="56" t="n">
        <x:v>656.7592046703325</x:v>
      </x:c>
      <x:c r="P246" s="56" t="n">
        <x:v>0</x:v>
      </x:c>
      <x:c r="Q246" s="56" t="n">
        <x:v>1777.0647569489931</x:v>
      </x:c>
      <x:c r="R246" s="68" t="n">
        <x:f>IFERROR(K246/I246,0)</x:f>
        <x:v>0.625</x:v>
      </x:c>
      <x:c r="S246" s="60" t="n">
        <x:f>K246*L246</x:f>
        <x:v>33640.330687511356</x:v>
      </x:c>
      <x:c r="T246" s="60" t="n">
        <x:f>S246*H246</x:f>
        <x:v>6727.835459396624</x:v>
      </x:c>
      <x:c r="U246" s="60" t="n">
        <x:f>K246*G246</x:f>
        <x:v>12533.194150366155</x:v>
      </x:c>
      <x:c r="V246" s="60" t="n">
        <x:f>S246-T246-M246-N246-O246-P246-Q246-U246</x:f>
        <x:v>8351.466466083755</x:v>
      </x:c>
      <x:c r="W246" s="68" t="n">
        <x:f>IFERROR(V246/S246,0)</x:f>
        <x:v>0.24825756154603307</x:v>
      </x:c>
      <x:c r="X246" s="72" t="n">
        <x:f>IFERROR(S246/Q246,0)</x:f>
        <x:v>18.930278458320092</x:v>
      </x:c>
      <x:c r="Y246" s="30" t="str">
        <x:v>Моделируемые данные Unitmetra</x:v>
      </x:c>
    </x:row>
    <x:row r="247">
      <x:c r="A247" s="48" t="str">
        <x:v>2026-02</x:v>
      </x:c>
      <x:c r="B247" s="48" t="str">
        <x:v>UM-041</x:v>
      </x:c>
      <x:c r="C247" s="48" t="str">
        <x:v>Жилет трикотажный</x:v>
      </x:c>
      <x:c r="D247" s="48" t="str">
        <x:v>Трикотаж</x:v>
      </x:c>
      <x:c r="E247" s="56" t="n">
        <x:v>2100</x:v>
      </x:c>
      <x:c r="F247" s="64" t="n">
        <x:v>0.17903974553544388</x:v>
      </x:c>
      <x:c r="G247" s="56" t="n">
        <x:v>626.6597075183078</x:v>
      </x:c>
      <x:c r="H247" s="64" t="n">
        <x:v>0.19999314281099703</x:v>
      </x:c>
      <x:c r="I247" s="56" t="n">
        <x:v>30</x:v>
      </x:c>
      <x:c r="J247" s="56" t="n">
        <x:v>10</x:v>
      </x:c>
      <x:c r="K247" s="56" t="n">
        <x:v>20</x:v>
      </x:c>
      <x:c r="L247" s="56" t="n">
        <x:v>1724.0165343755677</x:v>
      </x:c>
      <x:c r="M247" s="56" t="n">
        <x:v>2543.3381231144404</x:v>
      </x:c>
      <x:c r="N247" s="56" t="n">
        <x:v>579.0258695083288</x:v>
      </x:c>
      <x:c r="O247" s="56" t="n">
        <x:v>436.4538302422013</x:v>
      </x:c>
      <x:c r="P247" s="56" t="n">
        <x:v>0</x:v>
      </x:c>
      <x:c r="Q247" s="56" t="n">
        <x:v>1262.6879703977556</x:v>
      </x:c>
      <x:c r="R247" s="68" t="n">
        <x:f>IFERROR(K247/I247,0)</x:f>
        <x:v>0.6666666666666666</x:v>
      </x:c>
      <x:c r="S247" s="60" t="n">
        <x:f>K247*L247</x:f>
        <x:v>34480.330687511356</x:v>
      </x:c>
      <x:c r="T247" s="60" t="n">
        <x:f>S247*H247</x:f>
        <x:v>6895.829699357862</x:v>
      </x:c>
      <x:c r="U247" s="60" t="n">
        <x:f>K247*G247</x:f>
        <x:v>12533.194150366155</x:v>
      </x:c>
      <x:c r="V247" s="60" t="n">
        <x:f>S247-T247-M247-N247-O247-P247-Q247-U247</x:f>
        <x:v>10229.801044524615</x:v>
      </x:c>
      <x:c r="W247" s="68" t="n">
        <x:f>IFERROR(V247/S247,0)</x:f>
        <x:v>0.29668511990895174</x:v>
      </x:c>
      <x:c r="X247" s="72" t="n">
        <x:f>IFERROR(S247/Q247,0)</x:f>
        <x:v>27.307087337380594</x:v>
      </x:c>
      <x:c r="Y247" s="30" t="str">
        <x:v>Моделируемые данные Unitmetra</x:v>
      </x:c>
    </x:row>
    <x:row r="248">
      <x:c r="A248" s="48" t="str">
        <x:v>2025-09</x:v>
      </x:c>
      <x:c r="B248" s="48" t="str">
        <x:v>UM-042</x:v>
      </x:c>
      <x:c r="C248" s="48" t="str">
        <x:v>Лонгслив</x:v>
      </x:c>
      <x:c r="D248" s="48" t="str">
        <x:v>Трикотаж</x:v>
      </x:c>
      <x:c r="E248" s="56" t="n">
        <x:v>3000</x:v>
      </x:c>
      <x:c r="F248" s="64" t="n">
        <x:v>0.223800471794822</x:v>
      </x:c>
      <x:c r="G248" s="56" t="n">
        <x:v>846.6018850453379</x:v>
      </x:c>
      <x:c r="H248" s="64" t="n">
        <x:v>0.18181866532627863</x:v>
      </x:c>
      <x:c r="I248" s="56" t="n">
        <x:v>39</x:v>
      </x:c>
      <x:c r="J248" s="56" t="n">
        <x:v>13</x:v>
      </x:c>
      <x:c r="K248" s="56" t="n">
        <x:v>26</x:v>
      </x:c>
      <x:c r="L248" s="56" t="n">
        <x:v>2328.598584615534</x:v>
      </x:c>
      <x:c r="M248" s="56" t="n">
        <x:v>3374.602428159748</x:v>
      </x:c>
      <x:c r="N248" s="56" t="n">
        <x:v>934.6933342622053</x:v>
      </x:c>
      <x:c r="O248" s="56" t="n">
        <x:v>1149.4042680400048</x:v>
      </x:c>
      <x:c r="P248" s="56" t="n">
        <x:v>108.80897167826743</x:v>
      </x:c>
      <x:c r="Q248" s="56" t="n">
        <x:v>3445.1901005136924</x:v>
      </x:c>
      <x:c r="R248" s="68" t="n">
        <x:f>IFERROR(K248/I248,0)</x:f>
        <x:v>0.6666666666666666</x:v>
      </x:c>
      <x:c r="S248" s="60" t="n">
        <x:f>K248*L248</x:f>
        <x:v>60543.56320000388</x:v>
      </x:c>
      <x:c r="T248" s="60" t="n">
        <x:f>S248*H248</x:f>
        <x:v>11007.949855121906</x:v>
      </x:c>
      <x:c r="U248" s="60" t="n">
        <x:f>K248*G248</x:f>
        <x:v>22011.649011178786</x:v>
      </x:c>
      <x:c r="V248" s="60" t="n">
        <x:f>S248-T248-M248-N248-O248-P248-Q248-U248</x:f>
        <x:v>18511.26523104927</x:v>
      </x:c>
      <x:c r="W248" s="68" t="n">
        <x:f>IFERROR(V248/S248,0)</x:f>
        <x:v>0.3057511691192976</x:v>
      </x:c>
      <x:c r="X248" s="72" t="n">
        <x:f>IFERROR(S248/Q248,0)</x:f>
        <x:v>17.57335921491722</x:v>
      </x:c>
      <x:c r="Y248" s="30" t="str">
        <x:v>Моделируемые данные Unitmetra</x:v>
      </x:c>
    </x:row>
    <x:row r="249">
      <x:c r="A249" s="48" t="str">
        <x:v>2025-10</x:v>
      </x:c>
      <x:c r="B249" s="48" t="str">
        <x:v>UM-042</x:v>
      </x:c>
      <x:c r="C249" s="48" t="str">
        <x:v>Лонгслив</x:v>
      </x:c>
      <x:c r="D249" s="48" t="str">
        <x:v>Трикотаж</x:v>
      </x:c>
      <x:c r="E249" s="56" t="n">
        <x:v>3000</x:v>
      </x:c>
      <x:c r="F249" s="64" t="n">
        <x:v>0.233800471794822</x:v>
      </x:c>
      <x:c r="G249" s="56" t="n">
        <x:v>846.6018850453379</x:v>
      </x:c>
      <x:c r="H249" s="64" t="n">
        <x:v>0.18181866532627863</x:v>
      </x:c>
      <x:c r="I249" s="56" t="n">
        <x:v>47</x:v>
      </x:c>
      <x:c r="J249" s="56" t="n">
        <x:v>16</x:v>
      </x:c>
      <x:c r="K249" s="56" t="n">
        <x:v>31</x:v>
      </x:c>
      <x:c r="L249" s="56" t="n">
        <x:v>2298.598584615534</x:v>
      </x:c>
      <x:c r="M249" s="56" t="n">
        <x:v>4925.875716035229</x:v>
      </x:c>
      <x:c r="N249" s="56" t="n">
        <x:v>1186.8220767695207</x:v>
      </x:c>
      <x:c r="O249" s="56" t="n">
        <x:v>610.2813048951396</x:v>
      </x:c>
      <x:c r="P249" s="56" t="n">
        <x:v>0</x:v>
      </x:c>
      <x:c r="Q249" s="56" t="n">
        <x:v>4119.065865774088</x:v>
      </x:c>
      <x:c r="R249" s="68" t="n">
        <x:f>IFERROR(K249/I249,0)</x:f>
        <x:v>0.6595744680851063</x:v>
      </x:c>
      <x:c r="S249" s="60" t="n">
        <x:f>K249*L249</x:f>
        <x:v>71256.55612308155</x:v>
      </x:c>
      <x:c r="T249" s="60" t="n">
        <x:f>S249*H249</x:f>
        <x:v>12955.771930045756</x:v>
      </x:c>
      <x:c r="U249" s="60" t="n">
        <x:f>K249*G249</x:f>
        <x:v>26244.658436405476</x:v>
      </x:c>
      <x:c r="V249" s="60" t="n">
        <x:f>S249-T249-M249-N249-O249-P249-Q249-U249</x:f>
        <x:v>21214.080793156343</x:v>
      </x:c>
      <x:c r="W249" s="68" t="n">
        <x:f>IFERROR(V249/S249,0)</x:f>
        <x:v>0.2977140904271774</x:v>
      </x:c>
      <x:c r="X249" s="72" t="n">
        <x:f>IFERROR(S249/Q249,0)</x:f>
        <x:v>17.29920288849046</x:v>
      </x:c>
      <x:c r="Y249" s="30" t="str">
        <x:v>Моделируемые данные Unitmetra</x:v>
      </x:c>
    </x:row>
    <x:row r="250">
      <x:c r="A250" s="48" t="str">
        <x:v>2025-11</x:v>
      </x:c>
      <x:c r="B250" s="48" t="str">
        <x:v>UM-042</x:v>
      </x:c>
      <x:c r="C250" s="48" t="str">
        <x:v>Лонгслив</x:v>
      </x:c>
      <x:c r="D250" s="48" t="str">
        <x:v>Трикотаж</x:v>
      </x:c>
      <x:c r="E250" s="56" t="n">
        <x:v>3000</x:v>
      </x:c>
      <x:c r="F250" s="64" t="n">
        <x:v>0.2638004717948218</x:v>
      </x:c>
      <x:c r="G250" s="56" t="n">
        <x:v>846.6018850453379</x:v>
      </x:c>
      <x:c r="H250" s="64" t="n">
        <x:v>0.18181866532627863</x:v>
      </x:c>
      <x:c r="I250" s="56" t="n">
        <x:v>71</x:v>
      </x:c>
      <x:c r="J250" s="56" t="n">
        <x:v>24</x:v>
      </x:c>
      <x:c r="K250" s="56" t="n">
        <x:v>47</x:v>
      </x:c>
      <x:c r="L250" s="56" t="n">
        <x:v>2208.5985846155345</x:v>
      </x:c>
      <x:c r="M250" s="56" t="n">
        <x:v>5715.20808752086</x:v>
      </x:c>
      <x:c r="N250" s="56" t="n">
        <x:v>1687.0089551110398</x:v>
      </x:c>
      <x:c r="O250" s="56" t="n">
        <x:v>650.4550310931006</x:v>
      </x:c>
      <x:c r="P250" s="56" t="n">
        <x:v>0</x:v>
      </x:c>
      <x:c r="Q250" s="56" t="n">
        <x:v>5388.548736614755</x:v>
      </x:c>
      <x:c r="R250" s="68" t="n">
        <x:f>IFERROR(K250/I250,0)</x:f>
        <x:v>0.6619718309859155</x:v>
      </x:c>
      <x:c r="S250" s="60" t="n">
        <x:f>K250*L250</x:f>
        <x:v>103804.13347693012</x:v>
      </x:c>
      <x:c r="T250" s="60" t="n">
        <x:f>S250*H250</x:f>
        <x:v>18873.529004126314</x:v>
      </x:c>
      <x:c r="U250" s="60" t="n">
        <x:f>K250*G250</x:f>
        <x:v>39790.28859713088</x:v>
      </x:c>
      <x:c r="V250" s="60" t="n">
        <x:f>S250-T250-M250-N250-O250-P250-Q250-U250</x:f>
        <x:v>31699.09506533316</x:v>
      </x:c>
      <x:c r="W250" s="68" t="n">
        <x:f>IFERROR(V250/S250,0)</x:f>
        <x:v>0.3053741118351333</x:v>
      </x:c>
      <x:c r="X250" s="72" t="n">
        <x:f>IFERROR(S250/Q250,0)</x:f>
        <x:v>19.26383866060065</x:v>
      </x:c>
      <x:c r="Y250" s="30" t="str">
        <x:v>Моделируемые данные Unitmetra</x:v>
      </x:c>
    </x:row>
    <x:row r="251">
      <x:c r="A251" s="48" t="str">
        <x:v>2025-12</x:v>
      </x:c>
      <x:c r="B251" s="48" t="str">
        <x:v>UM-042</x:v>
      </x:c>
      <x:c r="C251" s="48" t="str">
        <x:v>Лонгслив</x:v>
      </x:c>
      <x:c r="D251" s="48" t="str">
        <x:v>Трикотаж</x:v>
      </x:c>
      <x:c r="E251" s="56" t="n">
        <x:v>3000</x:v>
      </x:c>
      <x:c r="F251" s="64" t="n">
        <x:v>0.28380047179482204</x:v>
      </x:c>
      <x:c r="G251" s="56" t="n">
        <x:v>846.6018850453379</x:v>
      </x:c>
      <x:c r="H251" s="64" t="n">
        <x:v>0.18181866532627863</x:v>
      </x:c>
      <x:c r="I251" s="56" t="n">
        <x:v>77</x:v>
      </x:c>
      <x:c r="J251" s="56" t="n">
        <x:v>28</x:v>
      </x:c>
      <x:c r="K251" s="56" t="n">
        <x:v>49</x:v>
      </x:c>
      <x:c r="L251" s="56" t="n">
        <x:v>2148.598584615534</x:v>
      </x:c>
      <x:c r="M251" s="56" t="n">
        <x:v>9147.39019979341</x:v>
      </x:c>
      <x:c r="N251" s="56" t="n">
        <x:v>1685.2589385242225</x:v>
      </x:c>
      <x:c r="O251" s="56" t="n">
        <x:v>664.4892243707225</x:v>
      </x:c>
      <x:c r="P251" s="56" t="n">
        <x:v>0</x:v>
      </x:c>
      <x:c r="Q251" s="56" t="n">
        <x:v>6089.512968388596</x:v>
      </x:c>
      <x:c r="R251" s="68" t="n">
        <x:f>IFERROR(K251/I251,0)</x:f>
        <x:v>0.6363636363636364</x:v>
      </x:c>
      <x:c r="S251" s="60" t="n">
        <x:f>K251*L251</x:f>
        <x:v>105281.33064616116</x:v>
      </x:c>
      <x:c r="T251" s="60" t="n">
        <x:f>S251*H251</x:f>
        <x:v>19142.11102185966</x:v>
      </x:c>
      <x:c r="U251" s="60" t="n">
        <x:f>K251*G251</x:f>
        <x:v>41483.49236722156</x:v>
      </x:c>
      <x:c r="V251" s="60" t="n">
        <x:f>S251-T251-M251-N251-O251-P251-Q251-U251</x:f>
        <x:v>27069.075926002995</x:v>
      </x:c>
      <x:c r="W251" s="68" t="n">
        <x:f>IFERROR(V251/S251,0)</x:f>
        <x:v>0.257111833217412</x:v>
      </x:c>
      <x:c r="X251" s="72" t="n">
        <x:f>IFERROR(S251/Q251,0)</x:f>
        <x:v>17.288957457302313</x:v>
      </x:c>
      <x:c r="Y251" s="30" t="str">
        <x:v>Моделируемые данные Unitmetra</x:v>
      </x:c>
    </x:row>
    <x:row r="252">
      <x:c r="A252" s="48" t="str">
        <x:v>2026-01</x:v>
      </x:c>
      <x:c r="B252" s="48" t="str">
        <x:v>UM-042</x:v>
      </x:c>
      <x:c r="C252" s="48" t="str">
        <x:v>Лонгслив</x:v>
      </x:c>
      <x:c r="D252" s="48" t="str">
        <x:v>Трикотаж</x:v>
      </x:c>
      <x:c r="E252" s="56" t="n">
        <x:v>3000</x:v>
      </x:c>
      <x:c r="F252" s="64" t="n">
        <x:v>0.253800471794822</x:v>
      </x:c>
      <x:c r="G252" s="56" t="n">
        <x:v>846.6018850453379</x:v>
      </x:c>
      <x:c r="H252" s="64" t="n">
        <x:v>0.18181866532627863</x:v>
      </x:c>
      <x:c r="I252" s="56" t="n">
        <x:v>51</x:v>
      </x:c>
      <x:c r="J252" s="56" t="n">
        <x:v>15</x:v>
      </x:c>
      <x:c r="K252" s="56" t="n">
        <x:v>36</x:v>
      </x:c>
      <x:c r="L252" s="56" t="n">
        <x:v>2238.598584615534</x:v>
      </x:c>
      <x:c r="M252" s="56" t="n">
        <x:v>4661.85101440749</x:v>
      </x:c>
      <x:c r="N252" s="56" t="n">
        <x:v>1136.7472061647484</x:v>
      </x:c>
      <x:c r="O252" s="56" t="n">
        <x:v>603.9046507605875</x:v>
      </x:c>
      <x:c r="P252" s="56" t="n">
        <x:v>230.9787568366847</x:v>
      </x:c>
      <x:c r="Q252" s="56" t="n">
        <x:v>4506.928589833751</x:v>
      </x:c>
      <x:c r="R252" s="68" t="n">
        <x:f>IFERROR(K252/I252,0)</x:f>
        <x:v>0.7058823529411765</x:v>
      </x:c>
      <x:c r="S252" s="60" t="n">
        <x:f>K252*L252</x:f>
        <x:v>80589.54904615923</x:v>
      </x:c>
      <x:c r="T252" s="60" t="n">
        <x:f>S252*H252</x:f>
        <x:v>14652.684246819343</x:v>
      </x:c>
      <x:c r="U252" s="60" t="n">
        <x:f>K252*G252</x:f>
        <x:v>30477.667861632166</x:v>
      </x:c>
      <x:c r="V252" s="60" t="n">
        <x:f>S252-T252-M252-N252-O252-P252-Q252-U252</x:f>
        <x:v>24318.786719704447</x:v>
      </x:c>
      <x:c r="W252" s="68" t="n">
        <x:f>IFERROR(V252/S252,0)</x:f>
        <x:v>0.3017610472764327</x:v>
      </x:c>
      <x:c r="X252" s="72" t="n">
        <x:f>IFERROR(S252/Q252,0)</x:f>
        <x:v>17.88125714437645</x:v>
      </x:c>
      <x:c r="Y252" s="30" t="str">
        <x:v>Моделируемые данные Unitmetra</x:v>
      </x:c>
    </x:row>
    <x:row r="253">
      <x:c r="A253" s="48" t="str">
        <x:v>2026-02</x:v>
      </x:c>
      <x:c r="B253" s="48" t="str">
        <x:v>UM-042</x:v>
      </x:c>
      <x:c r="C253" s="48" t="str">
        <x:v>Лонгслив</x:v>
      </x:c>
      <x:c r="D253" s="48" t="str">
        <x:v>Трикотаж</x:v>
      </x:c>
      <x:c r="E253" s="56" t="n">
        <x:v>3000</x:v>
      </x:c>
      <x:c r="F253" s="64" t="n">
        <x:v>0.233800471794822</x:v>
      </x:c>
      <x:c r="G253" s="56" t="n">
        <x:v>846.6018850453379</x:v>
      </x:c>
      <x:c r="H253" s="64" t="n">
        <x:v>0.18181866532627863</x:v>
      </x:c>
      <x:c r="I253" s="56" t="n">
        <x:v>53</x:v>
      </x:c>
      <x:c r="J253" s="56" t="n">
        <x:v>19</x:v>
      </x:c>
      <x:c r="K253" s="56" t="n">
        <x:v>34</x:v>
      </x:c>
      <x:c r="L253" s="56" t="n">
        <x:v>2298.598584615534</x:v>
      </x:c>
      <x:c r="M253" s="56" t="n">
        <x:v>5520.362689754688</x:v>
      </x:c>
      <x:c r="N253" s="56" t="n">
        <x:v>1270.7571932287376</x:v>
      </x:c>
      <x:c r="O253" s="56" t="n">
        <x:v>569.6438345517678</x:v>
      </x:c>
      <x:c r="P253" s="56" t="n">
        <x:v>0</x:v>
      </x:c>
      <x:c r="Q253" s="56" t="n">
        <x:v>3558.5611485781806</x:v>
      </x:c>
      <x:c r="R253" s="68" t="n">
        <x:f>IFERROR(K253/I253,0)</x:f>
        <x:v>0.6415094339622641</x:v>
      </x:c>
      <x:c r="S253" s="60" t="n">
        <x:f>K253*L253</x:f>
        <x:v>78152.35187692815</x:v>
      </x:c>
      <x:c r="T253" s="60" t="n">
        <x:f>S253*H253</x:f>
        <x:v>14209.556310372764</x:v>
      </x:c>
      <x:c r="U253" s="60" t="n">
        <x:f>K253*G253</x:f>
        <x:v>28784.46409154149</x:v>
      </x:c>
      <x:c r="V253" s="60" t="n">
        <x:f>S253-T253-M253-N253-O253-P253-Q253-U253</x:f>
        <x:v>24239.00660890053</x:v>
      </x:c>
      <x:c r="W253" s="68" t="n">
        <x:f>IFERROR(V253/S253,0)</x:f>
        <x:v>0.3101506995857444</x:v>
      </x:c>
      <x:c r="X253" s="72" t="n">
        <x:f>IFERROR(S253/Q253,0)</x:f>
        <x:v>21.961784163285728</x:v>
      </x:c>
      <x:c r="Y253" s="30" t="str">
        <x:v>Моделируемые данные Unitmetra</x:v>
      </x:c>
    </x:row>
    <x:row r="254">
      <x:c r="A254" s="48" t="str">
        <x:v>2025-09</x:v>
      </x:c>
      <x:c r="B254" s="48" t="str">
        <x:v>UM-043</x:v>
      </x:c>
      <x:c r="C254" s="48" t="str">
        <x:v>Пальто демисезонное</x:v>
      </x:c>
      <x:c r="D254" s="48" t="str">
        <x:v>Верхняя одежда</x:v>
      </x:c>
      <x:c r="E254" s="56" t="n">
        <x:v>6700</x:v>
      </x:c>
      <x:c r="F254" s="64" t="n">
        <x:v>0.2844245030284188</x:v>
      </x:c>
      <x:c r="G254" s="56" t="n">
        <x:v>2454.5966514390607</x:v>
      </x:c>
      <x:c r="H254" s="64" t="n">
        <x:v>0.2072817139269965</x:v>
      </x:c>
      <x:c r="I254" s="56" t="n">
        <x:v>54</x:v>
      </x:c>
      <x:c r="J254" s="56" t="n">
        <x:v>16</x:v>
      </x:c>
      <x:c r="K254" s="56" t="n">
        <x:v>38</x:v>
      </x:c>
      <x:c r="L254" s="56" t="n">
        <x:v>4794.355829709594</x:v>
      </x:c>
      <x:c r="M254" s="56" t="n">
        <x:v>5942.178906226325</x:v>
      </x:c>
      <x:c r="N254" s="56" t="n">
        <x:v>1276.851917446662</x:v>
      </x:c>
      <x:c r="O254" s="56" t="n">
        <x:v>1369.7957763778188</x:v>
      </x:c>
      <x:c r="P254" s="56" t="n">
        <x:v>0</x:v>
      </x:c>
      <x:c r="Q254" s="56" t="n">
        <x:v>8838.623780633168</x:v>
      </x:c>
      <x:c r="R254" s="68" t="n">
        <x:f>IFERROR(K254/I254,0)</x:f>
        <x:v>0.7037037037037037</x:v>
      </x:c>
      <x:c r="S254" s="60" t="n">
        <x:f>K254*L254</x:f>
        <x:v>182185.52152896457</x:v>
      </x:c>
      <x:c r="T254" s="60" t="n">
        <x:f>S254*H254</x:f>
        <x:v>37763.727155207496</x:v>
      </x:c>
      <x:c r="U254" s="60" t="n">
        <x:f>K254*G254</x:f>
        <x:v>93274.6727546843</x:v>
      </x:c>
      <x:c r="V254" s="60" t="n">
        <x:f>S254-T254-M254-N254-O254-P254-Q254-U254</x:f>
        <x:v>33719.67123838884</x:v>
      </x:c>
      <x:c r="W254" s="68" t="n">
        <x:f>IFERROR(V254/S254,0)</x:f>
        <x:v>0.18508425343244386</x:v>
      </x:c>
      <x:c r="X254" s="72" t="n">
        <x:f>IFERROR(S254/Q254,0)</x:f>
        <x:v>20.612430854695056</x:v>
      </x:c>
      <x:c r="Y254" s="30" t="str">
        <x:v>Моделируемые данные Unitmetra</x:v>
      </x:c>
    </x:row>
    <x:row r="255">
      <x:c r="A255" s="48" t="str">
        <x:v>2025-10</x:v>
      </x:c>
      <x:c r="B255" s="48" t="str">
        <x:v>UM-043</x:v>
      </x:c>
      <x:c r="C255" s="48" t="str">
        <x:v>Пальто демисезонное</x:v>
      </x:c>
      <x:c r="D255" s="48" t="str">
        <x:v>Верхняя одежда</x:v>
      </x:c>
      <x:c r="E255" s="56" t="n">
        <x:v>6700</x:v>
      </x:c>
      <x:c r="F255" s="64" t="n">
        <x:v>0.2944245030284188</x:v>
      </x:c>
      <x:c r="G255" s="56" t="n">
        <x:v>2454.5966514390607</x:v>
      </x:c>
      <x:c r="H255" s="64" t="n">
        <x:v>0.2072817139269965</x:v>
      </x:c>
      <x:c r="I255" s="56" t="n">
        <x:v>81</x:v>
      </x:c>
      <x:c r="J255" s="56" t="n">
        <x:v>21</x:v>
      </x:c>
      <x:c r="K255" s="56" t="n">
        <x:v>60</x:v>
      </x:c>
      <x:c r="L255" s="56" t="n">
        <x:v>4727.355829709594</x:v>
      </x:c>
      <x:c r="M255" s="56" t="n">
        <x:v>6728.63898205342</x:v>
      </x:c>
      <x:c r="N255" s="56" t="n">
        <x:v>1277.615773311101</x:v>
      </x:c>
      <x:c r="O255" s="56" t="n">
        <x:v>893.8259658145797</x:v>
      </x:c>
      <x:c r="P255" s="56" t="n">
        <x:v>219.1828290265504</x:v>
      </x:c>
      <x:c r="Q255" s="56" t="n">
        <x:v>12164.565542320508</x:v>
      </x:c>
      <x:c r="R255" s="68" t="n">
        <x:f>IFERROR(K255/I255,0)</x:f>
        <x:v>0.7407407407407407</x:v>
      </x:c>
      <x:c r="S255" s="60" t="n">
        <x:f>K255*L255</x:f>
        <x:v>283641.3497825757</x:v>
      </x:c>
      <x:c r="T255" s="60" t="n">
        <x:f>S255*H255</x:f>
        <x:v>58793.665123499006</x:v>
      </x:c>
      <x:c r="U255" s="60" t="n">
        <x:f>K255*G255</x:f>
        <x:v>147275.79908634364</x:v>
      </x:c>
      <x:c r="V255" s="60" t="n">
        <x:f>S255-T255-M255-N255-O255-P255-Q255-U255</x:f>
        <x:v>56288.0564802069</x:v>
      </x:c>
      <x:c r="W255" s="68" t="n">
        <x:f>IFERROR(V255/S255,0)</x:f>
        <x:v>0.19844799259118714</x:v>
      </x:c>
      <x:c r="X255" s="72" t="n">
        <x:f>IFERROR(S255/Q255,0)</x:f>
        <x:v>23.317014388700343</x:v>
      </x:c>
      <x:c r="Y255" s="30" t="str">
        <x:v>Моделируемые данные Unitmetra</x:v>
      </x:c>
    </x:row>
    <x:row r="256">
      <x:c r="A256" s="48" t="str">
        <x:v>2025-11</x:v>
      </x:c>
      <x:c r="B256" s="48" t="str">
        <x:v>UM-043</x:v>
      </x:c>
      <x:c r="C256" s="48" t="str">
        <x:v>Пальто демисезонное</x:v>
      </x:c>
      <x:c r="D256" s="48" t="str">
        <x:v>Верхняя одежда</x:v>
      </x:c>
      <x:c r="E256" s="56" t="n">
        <x:v>6700</x:v>
      </x:c>
      <x:c r="F256" s="64" t="n">
        <x:v>0.32442450302841874</x:v>
      </x:c>
      <x:c r="G256" s="56" t="n">
        <x:v>2454.5966514390607</x:v>
      </x:c>
      <x:c r="H256" s="64" t="n">
        <x:v>0.2072817139269965</x:v>
      </x:c>
      <x:c r="I256" s="56" t="n">
        <x:v>113</x:v>
      </x:c>
      <x:c r="J256" s="56" t="n">
        <x:v>35</x:v>
      </x:c>
      <x:c r="K256" s="56" t="n">
        <x:v>78</x:v>
      </x:c>
      <x:c r="L256" s="56" t="n">
        <x:v>4526.355829709594</x:v>
      </x:c>
      <x:c r="M256" s="56" t="n">
        <x:v>11989.60397798721</x:v>
      </x:c>
      <x:c r="N256" s="56" t="n">
        <x:v>2055.63090816285</x:v>
      </x:c>
      <x:c r="O256" s="56" t="n">
        <x:v>1003.3261198943823</x:v>
      </x:c>
      <x:c r="P256" s="56" t="n">
        <x:v>0</x:v>
      </x:c>
      <x:c r="Q256" s="56" t="n">
        <x:v>12599.725219245396</x:v>
      </x:c>
      <x:c r="R256" s="68" t="n">
        <x:f>IFERROR(K256/I256,0)</x:f>
        <x:v>0.6902654867256637</x:v>
      </x:c>
      <x:c r="S256" s="60" t="n">
        <x:f>K256*L256</x:f>
        <x:v>353055.7547173484</x:v>
      </x:c>
      <x:c r="T256" s="60" t="n">
        <x:f>S256*H256</x:f>
        <x:v>73182.00194960125</x:v>
      </x:c>
      <x:c r="U256" s="60" t="n">
        <x:f>K256*G256</x:f>
        <x:v>191458.53881224673</x:v>
      </x:c>
      <x:c r="V256" s="60" t="n">
        <x:f>S256-T256-M256-N256-O256-P256-Q256-U256</x:f>
        <x:v>60766.92773021059</x:v>
      </x:c>
      <x:c r="W256" s="68" t="n">
        <x:f>IFERROR(V256/S256,0)</x:f>
        <x:v>0.17211708609270443</x:v>
      </x:c>
      <x:c r="X256" s="72" t="n">
        <x:f>IFERROR(S256/Q256,0)</x:f>
        <x:v>28.020909073324464</x:v>
      </x:c>
      <x:c r="Y256" s="30" t="str">
        <x:v>Моделируемые данные Unitmetra</x:v>
      </x:c>
    </x:row>
    <x:row r="257">
      <x:c r="A257" s="48" t="str">
        <x:v>2025-12</x:v>
      </x:c>
      <x:c r="B257" s="48" t="str">
        <x:v>UM-043</x:v>
      </x:c>
      <x:c r="C257" s="48" t="str">
        <x:v>Пальто демисезонное</x:v>
      </x:c>
      <x:c r="D257" s="48" t="str">
        <x:v>Верхняя одежда</x:v>
      </x:c>
      <x:c r="E257" s="56" t="n">
        <x:v>6700</x:v>
      </x:c>
      <x:c r="F257" s="64" t="n">
        <x:v>0.34442450302841865</x:v>
      </x:c>
      <x:c r="G257" s="56" t="n">
        <x:v>2454.5966514390607</x:v>
      </x:c>
      <x:c r="H257" s="64" t="n">
        <x:v>0.2072817139269965</x:v>
      </x:c>
      <x:c r="I257" s="56" t="n">
        <x:v>109</x:v>
      </x:c>
      <x:c r="J257" s="56" t="n">
        <x:v>38</x:v>
      </x:c>
      <x:c r="K257" s="56" t="n">
        <x:v>71</x:v>
      </x:c>
      <x:c r="L257" s="56" t="n">
        <x:v>4392.355829709595</x:v>
      </x:c>
      <x:c r="M257" s="56" t="n">
        <x:v>10512.845851933173</x:v>
      </x:c>
      <x:c r="N257" s="56" t="n">
        <x:v>2850.832452432629</x:v>
      </x:c>
      <x:c r="O257" s="56" t="n">
        <x:v>841.9612518452559</x:v>
      </x:c>
      <x:c r="P257" s="56" t="n">
        <x:v>399.330332590265</x:v>
      </x:c>
      <x:c r="Q257" s="56" t="n">
        <x:v>15781.411309910985</x:v>
      </x:c>
      <x:c r="R257" s="68" t="n">
        <x:f>IFERROR(K257/I257,0)</x:f>
        <x:v>0.6513761467889908</x:v>
      </x:c>
      <x:c r="S257" s="60" t="n">
        <x:f>K257*L257</x:f>
        <x:v>311857.26390938123</x:v>
      </x:c>
      <x:c r="T257" s="60" t="n">
        <x:f>S257*H257</x:f>
        <x:v>64642.30816372021</x:v>
      </x:c>
      <x:c r="U257" s="60" t="n">
        <x:f>K257*G257</x:f>
        <x:v>174276.3622521733</x:v>
      </x:c>
      <x:c r="V257" s="60" t="n">
        <x:f>S257-T257-M257-N257-O257-P257-Q257-U257</x:f>
        <x:v>42552.21229477538</x:v>
      </x:c>
      <x:c r="W257" s="68" t="n">
        <x:f>IFERROR(V257/S257,0)</x:f>
        <x:v>0.13644771893830282</x:v>
      </x:c>
      <x:c r="X257" s="72" t="n">
        <x:f>IFERROR(S257/Q257,0)</x:f>
        <x:v>19.76105037662441</x:v>
      </x:c>
      <x:c r="Y257" s="30" t="str">
        <x:v>Моделируемые данные Unitmetra</x:v>
      </x:c>
    </x:row>
    <x:row r="258">
      <x:c r="A258" s="48" t="str">
        <x:v>2026-01</x:v>
      </x:c>
      <x:c r="B258" s="48" t="str">
        <x:v>UM-043</x:v>
      </x:c>
      <x:c r="C258" s="48" t="str">
        <x:v>Пальто демисезонное</x:v>
      </x:c>
      <x:c r="D258" s="48" t="str">
        <x:v>Верхняя одежда</x:v>
      </x:c>
      <x:c r="E258" s="56" t="n">
        <x:v>6700</x:v>
      </x:c>
      <x:c r="F258" s="64" t="n">
        <x:v>0.31442450302841873</x:v>
      </x:c>
      <x:c r="G258" s="56" t="n">
        <x:v>2454.5966514390607</x:v>
      </x:c>
      <x:c r="H258" s="64" t="n">
        <x:v>0.2072817139269965</x:v>
      </x:c>
      <x:c r="I258" s="56" t="n">
        <x:v>64</x:v>
      </x:c>
      <x:c r="J258" s="56" t="n">
        <x:v>17</x:v>
      </x:c>
      <x:c r="K258" s="56" t="n">
        <x:v>47</x:v>
      </x:c>
      <x:c r="L258" s="56" t="n">
        <x:v>4593.355829709594</x:v>
      </x:c>
      <x:c r="M258" s="56" t="n">
        <x:v>7389.812628807223</x:v>
      </x:c>
      <x:c r="N258" s="56" t="n">
        <x:v>1352.822286635593</x:v>
      </x:c>
      <x:c r="O258" s="56" t="n">
        <x:v>1099.6731593804714</x:v>
      </x:c>
      <x:c r="P258" s="56" t="n">
        <x:v>0</x:v>
      </x:c>
      <x:c r="Q258" s="56" t="n">
        <x:v>5343.652613143222</x:v>
      </x:c>
      <x:c r="R258" s="68" t="n">
        <x:f>IFERROR(K258/I258,0)</x:f>
        <x:v>0.734375</x:v>
      </x:c>
      <x:c r="S258" s="60" t="n">
        <x:f>K258*L258</x:f>
        <x:v>215887.72399635092</x:v>
      </x:c>
      <x:c r="T258" s="60" t="n">
        <x:f>S258*H258</x:f>
        <x:v>44749.57744576199</x:v>
      </x:c>
      <x:c r="U258" s="60" t="n">
        <x:f>K258*G258</x:f>
        <x:v>115366.04261763585</x:v>
      </x:c>
      <x:c r="V258" s="60" t="n">
        <x:f>S258-T258-M258-N258-O258-P258-Q258-U258</x:f>
        <x:v>40586.14324498658</x:v>
      </x:c>
      <x:c r="W258" s="68" t="n">
        <x:f>IFERROR(V258/S258,0)</x:f>
        <x:v>0.1879965312232047</x:v>
      </x:c>
      <x:c r="X258" s="72" t="n">
        <x:f>IFERROR(S258/Q258,0)</x:f>
        <x:v>40.400778199045824</x:v>
      </x:c>
      <x:c r="Y258" s="30" t="str">
        <x:v>Моделируемые данные Unitmetra</x:v>
      </x:c>
    </x:row>
    <x:row r="259">
      <x:c r="A259" s="48" t="str">
        <x:v>2026-02</x:v>
      </x:c>
      <x:c r="B259" s="48" t="str">
        <x:v>UM-043</x:v>
      </x:c>
      <x:c r="C259" s="48" t="str">
        <x:v>Пальто демисезонное</x:v>
      </x:c>
      <x:c r="D259" s="48" t="str">
        <x:v>Верхняя одежда</x:v>
      </x:c>
      <x:c r="E259" s="56" t="n">
        <x:v>6700</x:v>
      </x:c>
      <x:c r="F259" s="64" t="n">
        <x:v>0.2944245030284188</x:v>
      </x:c>
      <x:c r="G259" s="56" t="n">
        <x:v>2454.5966514390607</x:v>
      </x:c>
      <x:c r="H259" s="64" t="n">
        <x:v>0.2072817139269965</x:v>
      </x:c>
      <x:c r="I259" s="56" t="n">
        <x:v>49</x:v>
      </x:c>
      <x:c r="J259" s="56" t="n">
        <x:v>17</x:v>
      </x:c>
      <x:c r="K259" s="56" t="n">
        <x:v>32</x:v>
      </x:c>
      <x:c r="L259" s="56" t="n">
        <x:v>4727.355829709594</x:v>
      </x:c>
      <x:c r="M259" s="56" t="n">
        <x:v>5533.212528474093</x:v>
      </x:c>
      <x:c r="N259" s="56" t="n">
        <x:v>1395.0963308885905</x:v>
      </x:c>
      <x:c r="O259" s="56" t="n">
        <x:v>1195.5964721829037</x:v>
      </x:c>
      <x:c r="P259" s="56" t="n">
        <x:v>0</x:v>
      </x:c>
      <x:c r="Q259" s="56" t="n">
        <x:v>6645.796454214974</x:v>
      </x:c>
      <x:c r="R259" s="68" t="n">
        <x:f>IFERROR(K259/I259,0)</x:f>
        <x:v>0.6530612244897959</x:v>
      </x:c>
      <x:c r="S259" s="60" t="n">
        <x:f>K259*L259</x:f>
        <x:v>151275.38655070701</x:v>
      </x:c>
      <x:c r="T259" s="60" t="n">
        <x:f>S259*H259</x:f>
        <x:v>31356.621399199466</x:v>
      </x:c>
      <x:c r="U259" s="60" t="n">
        <x:f>K259*G259</x:f>
        <x:v>78547.09284604994</x:v>
      </x:c>
      <x:c r="V259" s="60" t="n">
        <x:f>S259-T259-M259-N259-O259-P259-Q259-U259</x:f>
        <x:v>26601.970519697046</x:v>
      </x:c>
      <x:c r="W259" s="68" t="n">
        <x:f>IFERROR(V259/S259,0)</x:f>
        <x:v>0.17585128107261622</x:v>
      </x:c>
      <x:c r="X259" s="72" t="n">
        <x:f>IFERROR(S259/Q259,0)</x:f>
        <x:v>22.76256692375274</x:v>
      </x:c>
      <x:c r="Y259" s="30" t="str">
        <x:v>Моделируемые данные Unitmetra</x:v>
      </x:c>
    </x:row>
    <x:row r="260">
      <x:c r="A260" s="48" t="str">
        <x:v>2025-09</x:v>
      </x:c>
      <x:c r="B260" s="48" t="str">
        <x:v>UM-044</x:v>
      </x:c>
      <x:c r="C260" s="48" t="str">
        <x:v>Куртка стёганая</x:v>
      </x:c>
      <x:c r="D260" s="48" t="str">
        <x:v>Верхняя одежда</x:v>
      </x:c>
      <x:c r="E260" s="56" t="n">
        <x:v>5300</x:v>
      </x:c>
      <x:c r="F260" s="64" t="n">
        <x:v>0.22577088575162207</x:v>
      </x:c>
      <x:c r="G260" s="56" t="n">
        <x:v>1758.0457454411037</x:v>
      </x:c>
      <x:c r="H260" s="64" t="n">
        <x:v>0.19619797779577305</x:v>
      </x:c>
      <x:c r="I260" s="56" t="n">
        <x:v>37</x:v>
      </x:c>
      <x:c r="J260" s="56" t="n">
        <x:v>15</x:v>
      </x:c>
      <x:c r="K260" s="56" t="n">
        <x:v>22</x:v>
      </x:c>
      <x:c r="L260" s="56" t="n">
        <x:v>4103.414305516403</x:v>
      </x:c>
      <x:c r="M260" s="56" t="n">
        <x:v>3789.353366032452</x:v>
      </x:c>
      <x:c r="N260" s="56" t="n">
        <x:v>979.171060492625</x:v>
      </x:c>
      <x:c r="O260" s="56" t="n">
        <x:v>418.7902204698141</x:v>
      </x:c>
      <x:c r="P260" s="56" t="n">
        <x:v>0</x:v>
      </x:c>
      <x:c r="Q260" s="56" t="n">
        <x:v>7907.923309947806</x:v>
      </x:c>
      <x:c r="R260" s="68" t="n">
        <x:f>IFERROR(K260/I260,0)</x:f>
        <x:v>0.5945945945945946</x:v>
      </x:c>
      <x:c r="S260" s="60" t="n">
        <x:f>K260*L260</x:f>
        <x:v>90275.11472136086</x:v>
      </x:c>
      <x:c r="T260" s="60" t="n">
        <x:f>S260*H260</x:f>
        <x:v>17711.794953612425</x:v>
      </x:c>
      <x:c r="U260" s="60" t="n">
        <x:f>K260*G260</x:f>
        <x:v>38677.00639970428</x:v>
      </x:c>
      <x:c r="V260" s="60" t="n">
        <x:f>S260-T260-M260-N260-O260-P260-Q260-U260</x:f>
        <x:v>20791.07541110147</x:v>
      </x:c>
      <x:c r="W260" s="68" t="n">
        <x:f>IFERROR(V260/S260,0)</x:f>
        <x:v>0.23030793674728936</x:v>
      </x:c>
      <x:c r="X260" s="72" t="n">
        <x:f>IFERROR(S260/Q260,0)</x:f>
        <x:v>11.415780247615565</x:v>
      </x:c>
      <x:c r="Y260" s="30" t="str">
        <x:v>Моделируемые данные Unitmetra</x:v>
      </x:c>
    </x:row>
    <x:row r="261">
      <x:c r="A261" s="48" t="str">
        <x:v>2025-10</x:v>
      </x:c>
      <x:c r="B261" s="48" t="str">
        <x:v>UM-044</x:v>
      </x:c>
      <x:c r="C261" s="48" t="str">
        <x:v>Куртка стёганая</x:v>
      </x:c>
      <x:c r="D261" s="48" t="str">
        <x:v>Верхняя одежда</x:v>
      </x:c>
      <x:c r="E261" s="56" t="n">
        <x:v>5300</x:v>
      </x:c>
      <x:c r="F261" s="64" t="n">
        <x:v>0.23577088575162197</x:v>
      </x:c>
      <x:c r="G261" s="56" t="n">
        <x:v>1758.0457454411037</x:v>
      </x:c>
      <x:c r="H261" s="64" t="n">
        <x:v>0.19619797779577305</x:v>
      </x:c>
      <x:c r="I261" s="56" t="n">
        <x:v>62</x:v>
      </x:c>
      <x:c r="J261" s="56" t="n">
        <x:v>24</x:v>
      </x:c>
      <x:c r="K261" s="56" t="n">
        <x:v>38</x:v>
      </x:c>
      <x:c r="L261" s="56" t="n">
        <x:v>4050.4143055164036</x:v>
      </x:c>
      <x:c r="M261" s="56" t="n">
        <x:v>6252.019569234318</x:v>
      </x:c>
      <x:c r="N261" s="56" t="n">
        <x:v>1628.5869011406598</x:v>
      </x:c>
      <x:c r="O261" s="56" t="n">
        <x:v>742.1119771102077</x:v>
      </x:c>
      <x:c r="P261" s="56" t="n">
        <x:v>190.46256597617088</x:v>
      </x:c>
      <x:c r="Q261" s="56" t="n">
        <x:v>11497.478279563667</x:v>
      </x:c>
      <x:c r="R261" s="68" t="n">
        <x:f>IFERROR(K261/I261,0)</x:f>
        <x:v>0.6129032258064516</x:v>
      </x:c>
      <x:c r="S261" s="60" t="n">
        <x:f>K261*L261</x:f>
        <x:v>153915.74360962334</x:v>
      </x:c>
      <x:c r="T261" s="60" t="n">
        <x:f>S261*H261</x:f>
        <x:v>30197.957647140778</x:v>
      </x:c>
      <x:c r="U261" s="60" t="n">
        <x:f>K261*G261</x:f>
        <x:v>66805.73832676194</x:v>
      </x:c>
      <x:c r="V261" s="60" t="n">
        <x:f>S261-T261-M261-N261-O261-P261-Q261-U261</x:f>
        <x:v>36601.3883426956</x:v>
      </x:c>
      <x:c r="W261" s="68" t="n">
        <x:f>IFERROR(V261/S261,0)</x:f>
        <x:v>0.2378014586703212</x:v>
      </x:c>
      <x:c r="X261" s="72" t="n">
        <x:f>IFERROR(S261/Q261,0)</x:f>
        <x:v>13.386913188016432</x:v>
      </x:c>
      <x:c r="Y261" s="30" t="str">
        <x:v>Моделируемые данные Unitmetra</x:v>
      </x:c>
    </x:row>
    <x:row r="262">
      <x:c r="A262" s="48" t="str">
        <x:v>2025-11</x:v>
      </x:c>
      <x:c r="B262" s="48" t="str">
        <x:v>UM-044</x:v>
      </x:c>
      <x:c r="C262" s="48" t="str">
        <x:v>Куртка стёганая</x:v>
      </x:c>
      <x:c r="D262" s="48" t="str">
        <x:v>Верхняя одежда</x:v>
      </x:c>
      <x:c r="E262" s="56" t="n">
        <x:v>5300</x:v>
      </x:c>
      <x:c r="F262" s="64" t="n">
        <x:v>0.2657708857516219</x:v>
      </x:c>
      <x:c r="G262" s="56" t="n">
        <x:v>1758.0457454411037</x:v>
      </x:c>
      <x:c r="H262" s="64" t="n">
        <x:v>0.19619797779577305</x:v>
      </x:c>
      <x:c r="I262" s="56" t="n">
        <x:v>84</x:v>
      </x:c>
      <x:c r="J262" s="56" t="n">
        <x:v>34</x:v>
      </x:c>
      <x:c r="K262" s="56" t="n">
        <x:v>50</x:v>
      </x:c>
      <x:c r="L262" s="56" t="n">
        <x:v>3891.414305516404</x:v>
      </x:c>
      <x:c r="M262" s="56" t="n">
        <x:v>7697.929184234184</x:v>
      </x:c>
      <x:c r="N262" s="56" t="n">
        <x:v>2769.2495656677206</x:v>
      </x:c>
      <x:c r="O262" s="56" t="n">
        <x:v>1136.5310600516805</x:v>
      </x:c>
      <x:c r="P262" s="56" t="n">
        <x:v>0</x:v>
      </x:c>
      <x:c r="Q262" s="56" t="n">
        <x:v>18691.485229062862</x:v>
      </x:c>
      <x:c r="R262" s="68" t="n">
        <x:f>IFERROR(K262/I262,0)</x:f>
        <x:v>0.5952380952380952</x:v>
      </x:c>
      <x:c r="S262" s="60" t="n">
        <x:f>K262*L262</x:f>
        <x:v>194570.7152758202</x:v>
      </x:c>
      <x:c r="T262" s="60" t="n">
        <x:f>S262*H262</x:f>
        <x:v>38174.38087539305</x:v>
      </x:c>
      <x:c r="U262" s="60" t="n">
        <x:f>K262*G262</x:f>
        <x:v>87902.28727205518</x:v>
      </x:c>
      <x:c r="V262" s="60" t="n">
        <x:f>S262-T262-M262-N262-O262-P262-Q262-U262</x:f>
        <x:v>38198.852089355525</x:v>
      </x:c>
      <x:c r="W262" s="68" t="n">
        <x:f>IFERROR(V262/S262,0)</x:f>
        <x:v>0.19632374807897207</x:v>
      </x:c>
      <x:c r="X262" s="72" t="n">
        <x:f>IFERROR(S262/Q262,0)</x:f>
        <x:v>10.409590938941957</x:v>
      </x:c>
      <x:c r="Y262" s="30" t="str">
        <x:v>Моделируемые данные Unitmetra</x:v>
      </x:c>
    </x:row>
    <x:row r="263">
      <x:c r="A263" s="48" t="str">
        <x:v>2025-12</x:v>
      </x:c>
      <x:c r="B263" s="48" t="str">
        <x:v>UM-044</x:v>
      </x:c>
      <x:c r="C263" s="48" t="str">
        <x:v>Куртка стёганая</x:v>
      </x:c>
      <x:c r="D263" s="48" t="str">
        <x:v>Верхняя одежда</x:v>
      </x:c>
      <x:c r="E263" s="56" t="n">
        <x:v>5300</x:v>
      </x:c>
      <x:c r="F263" s="64" t="n">
        <x:v>0.2857708857516219</x:v>
      </x:c>
      <x:c r="G263" s="56" t="n">
        <x:v>1758.0457454411037</x:v>
      </x:c>
      <x:c r="H263" s="64" t="n">
        <x:v>0.19619797779577305</x:v>
      </x:c>
      <x:c r="I263" s="56" t="n">
        <x:v>91</x:v>
      </x:c>
      <x:c r="J263" s="56" t="n">
        <x:v>39</x:v>
      </x:c>
      <x:c r="K263" s="56" t="n">
        <x:v>52</x:v>
      </x:c>
      <x:c r="L263" s="56" t="n">
        <x:v>3785.414305516404</x:v>
      </x:c>
      <x:c r="M263" s="56" t="n">
        <x:v>10242.653088702837</x:v>
      </x:c>
      <x:c r="N263" s="56" t="n">
        <x:v>3016.158318636099</x:v>
      </x:c>
      <x:c r="O263" s="56" t="n">
        <x:v>1009.6878216008962</x:v>
      </x:c>
      <x:c r="P263" s="56" t="n">
        <x:v>0</x:v>
      </x:c>
      <x:c r="Q263" s="56" t="n">
        <x:v>14953.949350891167</x:v>
      </x:c>
      <x:c r="R263" s="68" t="n">
        <x:f>IFERROR(K263/I263,0)</x:f>
        <x:v>0.5714285714285714</x:v>
      </x:c>
      <x:c r="S263" s="60" t="n">
        <x:f>K263*L263</x:f>
        <x:v>196841.543886853</x:v>
      </x:c>
      <x:c r="T263" s="60" t="n">
        <x:f>S263*H263</x:f>
        <x:v>38619.91285679847</x:v>
      </x:c>
      <x:c r="U263" s="60" t="n">
        <x:f>K263*G263</x:f>
        <x:v>91418.3787629374</x:v>
      </x:c>
      <x:c r="V263" s="60" t="n">
        <x:f>S263-T263-M263-N263-O263-P263-Q263-U263</x:f>
        <x:v>37580.80368728611</x:v>
      </x:c>
      <x:c r="W263" s="68" t="n">
        <x:f>IFERROR(V263/S263,0)</x:f>
        <x:v>0.1909190658903185</x:v>
      </x:c>
      <x:c r="X263" s="72" t="n">
        <x:f>IFERROR(S263/Q263,0)</x:f>
        <x:v>13.16318112814274</x:v>
      </x:c>
      <x:c r="Y263" s="30" t="str">
        <x:v>Моделируемые данные Unitmetra</x:v>
      </x:c>
    </x:row>
    <x:row r="264">
      <x:c r="A264" s="48" t="str">
        <x:v>2026-01</x:v>
      </x:c>
      <x:c r="B264" s="48" t="str">
        <x:v>UM-044</x:v>
      </x:c>
      <x:c r="C264" s="48" t="str">
        <x:v>Куртка стёганая</x:v>
      </x:c>
      <x:c r="D264" s="48" t="str">
        <x:v>Верхняя одежда</x:v>
      </x:c>
      <x:c r="E264" s="56" t="n">
        <x:v>5300</x:v>
      </x:c>
      <x:c r="F264" s="64" t="n">
        <x:v>0.255770885751622</x:v>
      </x:c>
      <x:c r="G264" s="56" t="n">
        <x:v>1758.0457454411037</x:v>
      </x:c>
      <x:c r="H264" s="64" t="n">
        <x:v>0.19619797779577305</x:v>
      </x:c>
      <x:c r="I264" s="56" t="n">
        <x:v>49</x:v>
      </x:c>
      <x:c r="J264" s="56" t="n">
        <x:v>19</x:v>
      </x:c>
      <x:c r="K264" s="56" t="n">
        <x:v>30</x:v>
      </x:c>
      <x:c r="L264" s="56" t="n">
        <x:v>3944.4143055164036</x:v>
      </x:c>
      <x:c r="M264" s="56" t="n">
        <x:v>5567.764494246171</x:v>
      </x:c>
      <x:c r="N264" s="56" t="n">
        <x:v>1271.035052012443</x:v>
      </x:c>
      <x:c r="O264" s="56" t="n">
        <x:v>616.242755948223</x:v>
      </x:c>
      <x:c r="P264" s="56" t="n">
        <x:v>0</x:v>
      </x:c>
      <x:c r="Q264" s="56" t="n">
        <x:v>10083.834796687132</x:v>
      </x:c>
      <x:c r="R264" s="68" t="n">
        <x:f>IFERROR(K264/I264,0)</x:f>
        <x:v>0.6122448979591837</x:v>
      </x:c>
      <x:c r="S264" s="60" t="n">
        <x:f>K264*L264</x:f>
        <x:v>118332.42916549211</x:v>
      </x:c>
      <x:c r="T264" s="60" t="n">
        <x:f>S264*H264</x:f>
        <x:v>23216.58330993111</x:v>
      </x:c>
      <x:c r="U264" s="60" t="n">
        <x:f>K264*G264</x:f>
        <x:v>52741.37236323311</x:v>
      </x:c>
      <x:c r="V264" s="60" t="n">
        <x:f>S264-T264-M264-N264-O264-P264-Q264-U264</x:f>
        <x:v>24835.59639343391</x:v>
      </x:c>
      <x:c r="W264" s="68" t="n">
        <x:f>IFERROR(V264/S264,0)</x:f>
        <x:v>0.20987988304288457</x:v>
      </x:c>
      <x:c r="X264" s="72" t="n">
        <x:f>IFERROR(S264/Q264,0)</x:f>
        <x:v>11.734863923432004</x:v>
      </x:c>
      <x:c r="Y264" s="30" t="str">
        <x:v>Моделируемые данные Unitmetra</x:v>
      </x:c>
    </x:row>
    <x:row r="265">
      <x:c r="A265" s="48" t="str">
        <x:v>2026-02</x:v>
      </x:c>
      <x:c r="B265" s="48" t="str">
        <x:v>UM-044</x:v>
      </x:c>
      <x:c r="C265" s="48" t="str">
        <x:v>Куртка стёганая</x:v>
      </x:c>
      <x:c r="D265" s="48" t="str">
        <x:v>Верхняя одежда</x:v>
      </x:c>
      <x:c r="E265" s="56" t="n">
        <x:v>5300</x:v>
      </x:c>
      <x:c r="F265" s="64" t="n">
        <x:v>0.23577088575162197</x:v>
      </x:c>
      <x:c r="G265" s="56" t="n">
        <x:v>1758.0457454411037</x:v>
      </x:c>
      <x:c r="H265" s="64" t="n">
        <x:v>0.19619797779577305</x:v>
      </x:c>
      <x:c r="I265" s="56" t="n">
        <x:v>33</x:v>
      </x:c>
      <x:c r="J265" s="56" t="n">
        <x:v>14</x:v>
      </x:c>
      <x:c r="K265" s="56" t="n">
        <x:v>19</x:v>
      </x:c>
      <x:c r="L265" s="56" t="n">
        <x:v>4050.4143055164036</x:v>
      </x:c>
      <x:c r="M265" s="56" t="n">
        <x:v>3398.7633652369527</x:v>
      </x:c>
      <x:c r="N265" s="56" t="n">
        <x:v>966.2548145147805</x:v>
      </x:c>
      <x:c r="O265" s="56" t="n">
        <x:v>702.3560480702826</x:v>
      </x:c>
      <x:c r="P265" s="56" t="n">
        <x:v>0</x:v>
      </x:c>
      <x:c r="Q265" s="56" t="n">
        <x:v>6986.796211109807</x:v>
      </x:c>
      <x:c r="R265" s="68" t="n">
        <x:f>IFERROR(K265/I265,0)</x:f>
        <x:v>0.5757575757575758</x:v>
      </x:c>
      <x:c r="S265" s="60" t="n">
        <x:f>K265*L265</x:f>
        <x:v>76957.87180481167</x:v>
      </x:c>
      <x:c r="T265" s="60" t="n">
        <x:f>S265*H265</x:f>
        <x:v>15098.978823570389</x:v>
      </x:c>
      <x:c r="U265" s="60" t="n">
        <x:f>K265*G265</x:f>
        <x:v>33402.86916338097</x:v>
      </x:c>
      <x:c r="V265" s="60" t="n">
        <x:f>S265-T265-M265-N265-O265-P265-Q265-U265</x:f>
        <x:v>16401.853378928485</x:v>
      </x:c>
      <x:c r="W265" s="68" t="n">
        <x:f>IFERROR(V265/S265,0)</x:f>
        <x:v>0.21312768914047575</x:v>
      </x:c>
      <x:c r="X265" s="72" t="n">
        <x:f>IFERROR(S265/Q265,0)</x:f>
        <x:v>11.014758335507173</x:v>
      </x:c>
      <x:c r="Y265" s="30" t="str">
        <x:v>Моделируемые данные Unitmetra</x:v>
      </x:c>
    </x:row>
    <x:row r="266">
      <x:c r="A266" s="48" t="str">
        <x:v>2025-09</x:v>
      </x:c>
      <x:c r="B266" s="48" t="str">
        <x:v>UM-045</x:v>
      </x:c>
      <x:c r="C266" s="48" t="str">
        <x:v>Тренч</x:v>
      </x:c>
      <x:c r="D266" s="48" t="str">
        <x:v>Верхняя одежда</x:v>
      </x:c>
      <x:c r="E266" s="56" t="n">
        <x:v>5500</x:v>
      </x:c>
      <x:c r="F266" s="64" t="n">
        <x:v>0.1623629457526331</x:v>
      </x:c>
      <x:c r="G266" s="56" t="n">
        <x:v>2109.6643821167286</x:v>
      </x:c>
      <x:c r="H266" s="64" t="n">
        <x:v>0.18813994791851057</x:v>
      </x:c>
      <x:c r="I266" s="56" t="n">
        <x:v>26</x:v>
      </x:c>
      <x:c r="J266" s="56" t="n">
        <x:v>13</x:v>
      </x:c>
      <x:c r="K266" s="56" t="n">
        <x:v>13</x:v>
      </x:c>
      <x:c r="L266" s="56" t="n">
        <x:v>4607.003798360518</x:v>
      </x:c>
      <x:c r="M266" s="56" t="n">
        <x:v>2571.030229061472</x:v>
      </x:c>
      <x:c r="N266" s="56" t="n">
        <x:v>1033.9557708836514</x:v>
      </x:c>
      <x:c r="O266" s="56" t="n">
        <x:v>588.2913524096806</x:v>
      </x:c>
      <x:c r="P266" s="56" t="n">
        <x:v>0</x:v>
      </x:c>
      <x:c r="Q266" s="56" t="n">
        <x:v>20553.319646072683</x:v>
      </x:c>
      <x:c r="R266" s="68" t="n">
        <x:f>IFERROR(K266/I266,0)</x:f>
        <x:v>0.5</x:v>
      </x:c>
      <x:c r="S266" s="60" t="n">
        <x:f>K266*L266</x:f>
        <x:v>59891.04937868673</x:v>
      </x:c>
      <x:c r="T266" s="60" t="n">
        <x:f>S266*H266</x:f>
        <x:v>11267.898910891066</x:v>
      </x:c>
      <x:c r="U266" s="60" t="n">
        <x:f>K266*G266</x:f>
        <x:v>27425.636967517472</x:v>
      </x:c>
      <x:c r="V266" s="60" t="n">
        <x:f>S266-T266-M266-N266-O266-P266-Q266-U266</x:f>
        <x:v>-3549.0834981492953</x:v>
      </x:c>
      <x:c r="W266" s="68" t="n">
        <x:f>IFERROR(V266/S266,0)</x:f>
        <x:v>-0.05925899671098931</x:v>
      </x:c>
      <x:c r="X266" s="72" t="n">
        <x:f>IFERROR(S266/Q266,0)</x:f>
        <x:v>2.913935578777936</x:v>
      </x:c>
      <x:c r="Y266" s="30" t="str">
        <x:v>Моделируемые данные Unitmetra</x:v>
      </x:c>
    </x:row>
    <x:row r="267">
      <x:c r="A267" s="48" t="str">
        <x:v>2025-10</x:v>
      </x:c>
      <x:c r="B267" s="48" t="str">
        <x:v>UM-045</x:v>
      </x:c>
      <x:c r="C267" s="48" t="str">
        <x:v>Тренч</x:v>
      </x:c>
      <x:c r="D267" s="48" t="str">
        <x:v>Верхняя одежда</x:v>
      </x:c>
      <x:c r="E267" s="56" t="n">
        <x:v>5500</x:v>
      </x:c>
      <x:c r="F267" s="64" t="n">
        <x:v>0.1723629457526331</x:v>
      </x:c>
      <x:c r="G267" s="56" t="n">
        <x:v>2109.6643821167286</x:v>
      </x:c>
      <x:c r="H267" s="64" t="n">
        <x:v>0.18813994791851057</x:v>
      </x:c>
      <x:c r="I267" s="56" t="n">
        <x:v>43</x:v>
      </x:c>
      <x:c r="J267" s="56" t="n">
        <x:v>21</x:v>
      </x:c>
      <x:c r="K267" s="56" t="n">
        <x:v>22</x:v>
      </x:c>
      <x:c r="L267" s="56" t="n">
        <x:v>4552.003798360518</x:v>
      </x:c>
      <x:c r="M267" s="56" t="n">
        <x:v>3930.7366289906477</x:v>
      </x:c>
      <x:c r="N267" s="56" t="n">
        <x:v>1620.6785628138352</x:v>
      </x:c>
      <x:c r="O267" s="56" t="n">
        <x:v>518.711325985411</x:v>
      </x:c>
      <x:c r="P267" s="56" t="n">
        <x:v>0</x:v>
      </x:c>
      <x:c r="Q267" s="56" t="n">
        <x:v>34194.99109662124</x:v>
      </x:c>
      <x:c r="R267" s="68" t="n">
        <x:f>IFERROR(K267/I267,0)</x:f>
        <x:v>0.5116279069767442</x:v>
      </x:c>
      <x:c r="S267" s="60" t="n">
        <x:f>K267*L267</x:f>
        <x:v>100144.0835639314</x:v>
      </x:c>
      <x:c r="T267" s="60" t="n">
        <x:f>S267*H267</x:f>
        <x:v>18841.102666065024</x:v>
      </x:c>
      <x:c r="U267" s="60" t="n">
        <x:f>K267*G267</x:f>
        <x:v>46412.61640656803</x:v>
      </x:c>
      <x:c r="V267" s="60" t="n">
        <x:f>S267-T267-M267-N267-O267-P267-Q267-U267</x:f>
        <x:v>-5374.75312311278</x:v>
      </x:c>
      <x:c r="W267" s="68" t="n">
        <x:f>IFERROR(V267/S267,0)</x:f>
        <x:v>-0.05367020129233664</x:v>
      </x:c>
      <x:c r="X267" s="72" t="n">
        <x:f>IFERROR(S267/Q267,0)</x:f>
        <x:v>2.9286185009074766</x:v>
      </x:c>
      <x:c r="Y267" s="30" t="str">
        <x:v>Моделируемые данные Unitmetra</x:v>
      </x:c>
    </x:row>
    <x:row r="268">
      <x:c r="A268" s="48" t="str">
        <x:v>2025-11</x:v>
      </x:c>
      <x:c r="B268" s="48" t="str">
        <x:v>UM-045</x:v>
      </x:c>
      <x:c r="C268" s="48" t="str">
        <x:v>Тренч</x:v>
      </x:c>
      <x:c r="D268" s="48" t="str">
        <x:v>Верхняя одежда</x:v>
      </x:c>
      <x:c r="E268" s="56" t="n">
        <x:v>5500</x:v>
      </x:c>
      <x:c r="F268" s="64" t="n">
        <x:v>0.20236294575263314</x:v>
      </x:c>
      <x:c r="G268" s="56" t="n">
        <x:v>2109.6643821167286</x:v>
      </x:c>
      <x:c r="H268" s="64" t="n">
        <x:v>0.18813994791851057</x:v>
      </x:c>
      <x:c r="I268" s="56" t="n">
        <x:v>53</x:v>
      </x:c>
      <x:c r="J268" s="56" t="n">
        <x:v>27</x:v>
      </x:c>
      <x:c r="K268" s="56" t="n">
        <x:v>26</x:v>
      </x:c>
      <x:c r="L268" s="56" t="n">
        <x:v>4387.003798360518</x:v>
      </x:c>
      <x:c r="M268" s="56" t="n">
        <x:v>6096.565590242</x:v>
      </x:c>
      <x:c r="N268" s="56" t="n">
        <x:v>2284.4251107751547</x:v>
      </x:c>
      <x:c r="O268" s="56" t="n">
        <x:v>299.8829229482608</x:v>
      </x:c>
      <x:c r="P268" s="56" t="n">
        <x:v>0</x:v>
      </x:c>
      <x:c r="Q268" s="56" t="n">
        <x:v>38681.75705972564</x:v>
      </x:c>
      <x:c r="R268" s="68" t="n">
        <x:f>IFERROR(K268/I268,0)</x:f>
        <x:v>0.49056603773584906</x:v>
      </x:c>
      <x:c r="S268" s="60" t="n">
        <x:f>K268*L268</x:f>
        <x:v>114062.09875737346</x:v>
      </x:c>
      <x:c r="T268" s="60" t="n">
        <x:f>S268*H268</x:f>
        <x:v>21459.637319688252</x:v>
      </x:c>
      <x:c r="U268" s="60" t="n">
        <x:f>K268*G268</x:f>
        <x:v>54851.273935034944</x:v>
      </x:c>
      <x:c r="V268" s="60" t="n">
        <x:f>S268-T268-M268-N268-O268-P268-Q268-U268</x:f>
        <x:v>-9611.443181040784</x:v>
      </x:c>
      <x:c r="W268" s="68" t="n">
        <x:f>IFERROR(V268/S268,0)</x:f>
        <x:v>-0.08426500376330713</x:v>
      </x:c>
      <x:c r="X268" s="72" t="n">
        <x:f>IFERROR(S268/Q268,0)</x:f>
        <x:v>2.9487310667211575</x:v>
      </x:c>
      <x:c r="Y268" s="30" t="str">
        <x:v>Моделируемые данные Unitmetra</x:v>
      </x:c>
    </x:row>
    <x:row r="269">
      <x:c r="A269" s="48" t="str">
        <x:v>2025-12</x:v>
      </x:c>
      <x:c r="B269" s="48" t="str">
        <x:v>UM-045</x:v>
      </x:c>
      <x:c r="C269" s="48" t="str">
        <x:v>Тренч</x:v>
      </x:c>
      <x:c r="D269" s="48" t="str">
        <x:v>Верхняя одежда</x:v>
      </x:c>
      <x:c r="E269" s="56" t="n">
        <x:v>5500</x:v>
      </x:c>
      <x:c r="F269" s="64" t="n">
        <x:v>0.22236294575263305</x:v>
      </x:c>
      <x:c r="G269" s="56" t="n">
        <x:v>2109.6643821167286</x:v>
      </x:c>
      <x:c r="H269" s="64" t="n">
        <x:v>0.18813994791851057</x:v>
      </x:c>
      <x:c r="I269" s="56" t="n">
        <x:v>51</x:v>
      </x:c>
      <x:c r="J269" s="56" t="n">
        <x:v>28</x:v>
      </x:c>
      <x:c r="K269" s="56" t="n">
        <x:v>23</x:v>
      </x:c>
      <x:c r="L269" s="56" t="n">
        <x:v>4277.003798360518</x:v>
      </x:c>
      <x:c r="M269" s="56" t="n">
        <x:v>4871.242611168545</x:v>
      </x:c>
      <x:c r="N269" s="56" t="n">
        <x:v>2222.3294350350407</x:v>
      </x:c>
      <x:c r="O269" s="56" t="n">
        <x:v>702.8904649274052</x:v>
      </x:c>
      <x:c r="P269" s="56" t="n">
        <x:v>0</x:v>
      </x:c>
      <x:c r="Q269" s="56" t="n">
        <x:v>31444.374188609854</x:v>
      </x:c>
      <x:c r="R269" s="68" t="n">
        <x:f>IFERROR(K269/I269,0)</x:f>
        <x:v>0.45098039215686275</x:v>
      </x:c>
      <x:c r="S269" s="60" t="n">
        <x:f>K269*L269</x:f>
        <x:v>98371.08736229192</x:v>
      </x:c>
      <x:c r="T269" s="60" t="n">
        <x:f>S269*H269</x:f>
        <x:v>18507.531253028854</x:v>
      </x:c>
      <x:c r="U269" s="60" t="n">
        <x:f>K269*G269</x:f>
        <x:v>48522.28078868476</x:v>
      </x:c>
      <x:c r="V269" s="60" t="n">
        <x:f>S269-T269-M269-N269-O269-P269-Q269-U269</x:f>
        <x:v>-7899.561379162551</x:v>
      </x:c>
      <x:c r="W269" s="68" t="n">
        <x:f>IFERROR(V269/S269,0)</x:f>
        <x:v>-0.08030369075894396</x:v>
      </x:c>
      <x:c r="X269" s="72" t="n">
        <x:f>IFERROR(S269/Q269,0)</x:f>
        <x:v>3.128416128501773</x:v>
      </x:c>
      <x:c r="Y269" s="30" t="str">
        <x:v>Моделируемые данные Unitmetra</x:v>
      </x:c>
    </x:row>
    <x:row r="270">
      <x:c r="A270" s="48" t="str">
        <x:v>2026-01</x:v>
      </x:c>
      <x:c r="B270" s="48" t="str">
        <x:v>UM-045</x:v>
      </x:c>
      <x:c r="C270" s="48" t="str">
        <x:v>Тренч</x:v>
      </x:c>
      <x:c r="D270" s="48" t="str">
        <x:v>Верхняя одежда</x:v>
      </x:c>
      <x:c r="E270" s="56" t="n">
        <x:v>5500</x:v>
      </x:c>
      <x:c r="F270" s="64" t="n">
        <x:v>0.19236294575263313</x:v>
      </x:c>
      <x:c r="G270" s="56" t="n">
        <x:v>2109.6643821167286</x:v>
      </x:c>
      <x:c r="H270" s="64" t="n">
        <x:v>0.18813994791851057</x:v>
      </x:c>
      <x:c r="I270" s="56" t="n">
        <x:v>30</x:v>
      </x:c>
      <x:c r="J270" s="56" t="n">
        <x:v>16</x:v>
      </x:c>
      <x:c r="K270" s="56" t="n">
        <x:v>14</x:v>
      </x:c>
      <x:c r="L270" s="56" t="n">
        <x:v>4442.003798360518</x:v>
      </x:c>
      <x:c r="M270" s="56" t="n">
        <x:v>3566.3932112421244</x:v>
      </x:c>
      <x:c r="N270" s="56" t="n">
        <x:v>998.6831551872498</x:v>
      </x:c>
      <x:c r="O270" s="56" t="n">
        <x:v>577.5742351203363</x:v>
      </x:c>
      <x:c r="P270" s="56" t="n">
        <x:v>0</x:v>
      </x:c>
      <x:c r="Q270" s="56" t="n">
        <x:v>19351.78848169779</x:v>
      </x:c>
      <x:c r="R270" s="68" t="n">
        <x:f>IFERROR(K270/I270,0)</x:f>
        <x:v>0.4666666666666667</x:v>
      </x:c>
      <x:c r="S270" s="60" t="n">
        <x:f>K270*L270</x:f>
        <x:v>62188.05317704725</x:v>
      </x:c>
      <x:c r="T270" s="60" t="n">
        <x:f>S270*H270</x:f>
        <x:v>11700.057085883236</x:v>
      </x:c>
      <x:c r="U270" s="60" t="n">
        <x:f>K270*G270</x:f>
        <x:v>29535.3013496342</x:v>
      </x:c>
      <x:c r="V270" s="60" t="n">
        <x:f>S270-T270-M270-N270-O270-P270-Q270-U270</x:f>
        <x:v>-3541.7443417176873</x:v>
      </x:c>
      <x:c r="W270" s="68" t="n">
        <x:f>IFERROR(V270/S270,0)</x:f>
        <x:v>-0.05695216622450719</x:v>
      </x:c>
      <x:c r="X270" s="72" t="n">
        <x:f>IFERROR(S270/Q270,0)</x:f>
        <x:v>3.2135558548432064</x:v>
      </x:c>
      <x:c r="Y270" s="30" t="str">
        <x:v>Моделируемые данные Unitmetra</x:v>
      </x:c>
    </x:row>
    <x:row r="271">
      <x:c r="A271" s="48" t="str">
        <x:v>2026-02</x:v>
      </x:c>
      <x:c r="B271" s="48" t="str">
        <x:v>UM-045</x:v>
      </x:c>
      <x:c r="C271" s="48" t="str">
        <x:v>Тренч</x:v>
      </x:c>
      <x:c r="D271" s="48" t="str">
        <x:v>Верхняя одежда</x:v>
      </x:c>
      <x:c r="E271" s="56" t="n">
        <x:v>5500</x:v>
      </x:c>
      <x:c r="F271" s="64" t="n">
        <x:v>0.1723629457526331</x:v>
      </x:c>
      <x:c r="G271" s="56" t="n">
        <x:v>2109.6643821167286</x:v>
      </x:c>
      <x:c r="H271" s="64" t="n">
        <x:v>0.18813994791851057</x:v>
      </x:c>
      <x:c r="I271" s="56" t="n">
        <x:v>23</x:v>
      </x:c>
      <x:c r="J271" s="56" t="n">
        <x:v>12</x:v>
      </x:c>
      <x:c r="K271" s="56" t="n">
        <x:v>11</x:v>
      </x:c>
      <x:c r="L271" s="56" t="n">
        <x:v>4552.003798360518</x:v>
      </x:c>
      <x:c r="M271" s="56" t="n">
        <x:v>2351.9672032699305</x:v>
      </x:c>
      <x:c r="N271" s="56" t="n">
        <x:v>844.4240553737806</x:v>
      </x:c>
      <x:c r="O271" s="56" t="n">
        <x:v>451.1860973494887</x:v>
      </x:c>
      <x:c r="P271" s="56" t="n">
        <x:v>9.087133831564678</x:v>
      </x:c>
      <x:c r="Q271" s="56" t="n">
        <x:v>16639.46217513399</x:v>
      </x:c>
      <x:c r="R271" s="68" t="n">
        <x:f>IFERROR(K271/I271,0)</x:f>
        <x:v>0.4782608695652174</x:v>
      </x:c>
      <x:c r="S271" s="60" t="n">
        <x:f>K271*L271</x:f>
        <x:v>50072.0417819657</x:v>
      </x:c>
      <x:c r="T271" s="60" t="n">
        <x:f>S271*H271</x:f>
        <x:v>9420.551333032512</x:v>
      </x:c>
      <x:c r="U271" s="60" t="n">
        <x:f>K271*G271</x:f>
        <x:v>23206.308203284014</x:v>
      </x:c>
      <x:c r="V271" s="60" t="n">
        <x:f>S271-T271-M271-N271-O271-P271-Q271-U271</x:f>
        <x:v>-2850.944419309584</x:v>
      </x:c>
      <x:c r="W271" s="68" t="n">
        <x:f>IFERROR(V271/S271,0)</x:f>
        <x:v>-0.056936851741012894</x:v>
      </x:c>
      <x:c r="X271" s="72" t="n">
        <x:f>IFERROR(S271/Q271,0)</x:f>
        <x:v>3.009234388404293</x:v>
      </x:c>
      <x:c r="Y271" s="30" t="str">
        <x:v>Моделируемые данные Unitmetra</x:v>
      </x:c>
    </x:row>
    <x:row r="272">
      <x:c r="A272" s="48" t="str">
        <x:v>2025-09</x:v>
      </x:c>
      <x:c r="B272" s="48" t="str">
        <x:v>UM-046</x:v>
      </x:c>
      <x:c r="C272" s="48" t="str">
        <x:v>Экопуховик</x:v>
      </x:c>
      <x:c r="D272" s="48" t="str">
        <x:v>Верхняя одежда</x:v>
      </x:c>
      <x:c r="E272" s="56" t="n">
        <x:v>5700</x:v>
      </x:c>
      <x:c r="F272" s="64" t="n">
        <x:v>0.20071425275630872</x:v>
      </x:c>
      <x:c r="G272" s="56" t="n">
        <x:v>2008.0484482918666</x:v>
      </x:c>
      <x:c r="H272" s="64" t="n">
        <x:v>0.21321002743503692</x:v>
      </x:c>
      <x:c r="I272" s="56" t="n">
        <x:v>25</x:v>
      </x:c>
      <x:c r="J272" s="56" t="n">
        <x:v>10</x:v>
      </x:c>
      <x:c r="K272" s="56" t="n">
        <x:v>15</x:v>
      </x:c>
      <x:c r="L272" s="56" t="n">
        <x:v>4555.9287592890405</x:v>
      </x:c>
      <x:c r="M272" s="56" t="n">
        <x:v>2892.904995362683</x:v>
      </x:c>
      <x:c r="N272" s="56" t="n">
        <x:v>550.8121821027361</x:v>
      </x:c>
      <x:c r="O272" s="56" t="n">
        <x:v>447.27896138326565</x:v>
      </x:c>
      <x:c r="P272" s="56" t="n">
        <x:v>0</x:v>
      </x:c>
      <x:c r="Q272" s="56" t="n">
        <x:v>4643.830930967501</x:v>
      </x:c>
      <x:c r="R272" s="68" t="n">
        <x:f>IFERROR(K272/I272,0)</x:f>
        <x:v>0.6</x:v>
      </x:c>
      <x:c r="S272" s="60" t="n">
        <x:f>K272*L272</x:f>
        <x:v>68338.9313893356</x:v>
      </x:c>
      <x:c r="T272" s="60" t="n">
        <x:f>S272*H272</x:f>
        <x:v>14570.54543640135</x:v>
      </x:c>
      <x:c r="U272" s="60" t="n">
        <x:f>K272*G272</x:f>
        <x:v>30120.726724378</x:v>
      </x:c>
      <x:c r="V272" s="60" t="n">
        <x:f>S272-T272-M272-N272-O272-P272-Q272-U272</x:f>
        <x:v>15112.832158740064</x:v>
      </x:c>
      <x:c r="W272" s="68" t="n">
        <x:f>IFERROR(V272/S272,0)</x:f>
        <x:v>0.22114528061084732</x:v>
      </x:c>
      <x:c r="X272" s="72" t="n">
        <x:f>IFERROR(S272/Q272,0)</x:f>
        <x:v>14.716067920047594</x:v>
      </x:c>
      <x:c r="Y272" s="30" t="str">
        <x:v>Моделируемые данные Unitmetra</x:v>
      </x:c>
    </x:row>
    <x:row r="273">
      <x:c r="A273" s="48" t="str">
        <x:v>2025-10</x:v>
      </x:c>
      <x:c r="B273" s="48" t="str">
        <x:v>UM-046</x:v>
      </x:c>
      <x:c r="C273" s="48" t="str">
        <x:v>Экопуховик</x:v>
      </x:c>
      <x:c r="D273" s="48" t="str">
        <x:v>Верхняя одежда</x:v>
      </x:c>
      <x:c r="E273" s="56" t="n">
        <x:v>5700</x:v>
      </x:c>
      <x:c r="F273" s="64" t="n">
        <x:v>0.21071425275630873</x:v>
      </x:c>
      <x:c r="G273" s="56" t="n">
        <x:v>2008.0484482918666</x:v>
      </x:c>
      <x:c r="H273" s="64" t="n">
        <x:v>0.21321002743503692</x:v>
      </x:c>
      <x:c r="I273" s="56" t="n">
        <x:v>39</x:v>
      </x:c>
      <x:c r="J273" s="56" t="n">
        <x:v>16</x:v>
      </x:c>
      <x:c r="K273" s="56" t="n">
        <x:v>23</x:v>
      </x:c>
      <x:c r="L273" s="56" t="n">
        <x:v>4498.9287592890405</x:v>
      </x:c>
      <x:c r="M273" s="56" t="n">
        <x:v>3946.2153758967947</x:v>
      </x:c>
      <x:c r="N273" s="56" t="n">
        <x:v>1219.2140422303485</x:v>
      </x:c>
      <x:c r="O273" s="56" t="n">
        <x:v>397.0897374232423</x:v>
      </x:c>
      <x:c r="P273" s="56" t="n">
        <x:v>60.86765137384801</x:v>
      </x:c>
      <x:c r="Q273" s="56" t="n">
        <x:v>8115.837660545046</x:v>
      </x:c>
      <x:c r="R273" s="68" t="n">
        <x:f>IFERROR(K273/I273,0)</x:f>
        <x:v>0.5897435897435898</x:v>
      </x:c>
      <x:c r="S273" s="60" t="n">
        <x:f>K273*L273</x:f>
        <x:v>103475.36146364793</x:v>
      </x:c>
      <x:c r="T273" s="60" t="n">
        <x:f>S273*H273</x:f>
        <x:v>22061.984656514738</x:v>
      </x:c>
      <x:c r="U273" s="60" t="n">
        <x:f>K273*G273</x:f>
        <x:v>46185.11431071293</x:v>
      </x:c>
      <x:c r="V273" s="60" t="n">
        <x:f>S273-T273-M273-N273-O273-P273-Q273-U273</x:f>
        <x:v>21489.038028950992</x:v>
      </x:c>
      <x:c r="W273" s="68" t="n">
        <x:f>IFERROR(V273/S273,0)</x:f>
        <x:v>0.2076729931163404</x:v>
      </x:c>
      <x:c r="X273" s="72" t="n">
        <x:f>IFERROR(S273/Q273,0)</x:f>
        <x:v>12.749806710241504</x:v>
      </x:c>
      <x:c r="Y273" s="30" t="str">
        <x:v>Моделируемые данные Unitmetra</x:v>
      </x:c>
    </x:row>
    <x:row r="274">
      <x:c r="A274" s="48" t="str">
        <x:v>2025-11</x:v>
      </x:c>
      <x:c r="B274" s="48" t="str">
        <x:v>UM-046</x:v>
      </x:c>
      <x:c r="C274" s="48" t="str">
        <x:v>Экопуховик</x:v>
      </x:c>
      <x:c r="D274" s="48" t="str">
        <x:v>Верхняя одежда</x:v>
      </x:c>
      <x:c r="E274" s="56" t="n">
        <x:v>5700</x:v>
      </x:c>
      <x:c r="F274" s="64" t="n">
        <x:v>0.24071425275630864</x:v>
      </x:c>
      <x:c r="G274" s="56" t="n">
        <x:v>2008.0484482918666</x:v>
      </x:c>
      <x:c r="H274" s="64" t="n">
        <x:v>0.21321002743503692</x:v>
      </x:c>
      <x:c r="I274" s="56" t="n">
        <x:v>47</x:v>
      </x:c>
      <x:c r="J274" s="56" t="n">
        <x:v>18</x:v>
      </x:c>
      <x:c r="K274" s="56" t="n">
        <x:v>29</x:v>
      </x:c>
      <x:c r="L274" s="56" t="n">
        <x:v>4327.9287592890405</x:v>
      </x:c>
      <x:c r="M274" s="56" t="n">
        <x:v>4110.9247549474085</x:v>
      </x:c>
      <x:c r="N274" s="56" t="n">
        <x:v>1258.3939569574404</x:v>
      </x:c>
      <x:c r="O274" s="56" t="n">
        <x:v>434.704964529456</x:v>
      </x:c>
      <x:c r="P274" s="56" t="n">
        <x:v>0</x:v>
      </x:c>
      <x:c r="Q274" s="56" t="n">
        <x:v>8998.646402310422</x:v>
      </x:c>
      <x:c r="R274" s="68" t="n">
        <x:f>IFERROR(K274/I274,0)</x:f>
        <x:v>0.6170212765957447</x:v>
      </x:c>
      <x:c r="S274" s="60" t="n">
        <x:f>K274*L274</x:f>
        <x:v>125509.93401938217</x:v>
      </x:c>
      <x:c r="T274" s="60" t="n">
        <x:f>S274*H274</x:f>
        <x:v>26759.976475642146</x:v>
      </x:c>
      <x:c r="U274" s="60" t="n">
        <x:f>K274*G274</x:f>
        <x:v>58233.40500046413</x:v>
      </x:c>
      <x:c r="V274" s="60" t="n">
        <x:f>S274-T274-M274-N274-O274-P274-Q274-U274</x:f>
        <x:v>25713.882464531154</x:v>
      </x:c>
      <x:c r="W274" s="68" t="n">
        <x:f>IFERROR(V274/S274,0)</x:f>
        <x:v>0.2048752767295713</x:v>
      </x:c>
      <x:c r="X274" s="72" t="n">
        <x:f>IFERROR(S274/Q274,0)</x:f>
        <x:v>13.947645946745638</x:v>
      </x:c>
      <x:c r="Y274" s="30" t="str">
        <x:v>Моделируемые данные Unitmetra</x:v>
      </x:c>
    </x:row>
    <x:row r="275">
      <x:c r="A275" s="48" t="str">
        <x:v>2025-12</x:v>
      </x:c>
      <x:c r="B275" s="48" t="str">
        <x:v>UM-046</x:v>
      </x:c>
      <x:c r="C275" s="48" t="str">
        <x:v>Экопуховик</x:v>
      </x:c>
      <x:c r="D275" s="48" t="str">
        <x:v>Верхняя одежда</x:v>
      </x:c>
      <x:c r="E275" s="56" t="n">
        <x:v>5700</x:v>
      </x:c>
      <x:c r="F275" s="64" t="n">
        <x:v>0.26071425275630855</x:v>
      </x:c>
      <x:c r="G275" s="56" t="n">
        <x:v>2008.0484482918666</x:v>
      </x:c>
      <x:c r="H275" s="64" t="n">
        <x:v>0.21321002743503692</x:v>
      </x:c>
      <x:c r="I275" s="56" t="n">
        <x:v>43</x:v>
      </x:c>
      <x:c r="J275" s="56" t="n">
        <x:v>19</x:v>
      </x:c>
      <x:c r="K275" s="56" t="n">
        <x:v>24</x:v>
      </x:c>
      <x:c r="L275" s="56" t="n">
        <x:v>4213.928759289041</x:v>
      </x:c>
      <x:c r="M275" s="56" t="n">
        <x:v>4811.729590971468</x:v>
      </x:c>
      <x:c r="N275" s="56" t="n">
        <x:v>1540.7200485529702</x:v>
      </x:c>
      <x:c r="O275" s="56" t="n">
        <x:v>574.8555312565319</x:v>
      </x:c>
      <x:c r="P275" s="56" t="n">
        <x:v>0</x:v>
      </x:c>
      <x:c r="Q275" s="56" t="n">
        <x:v>8337.891217641602</x:v>
      </x:c>
      <x:c r="R275" s="68" t="n">
        <x:f>IFERROR(K275/I275,0)</x:f>
        <x:v>0.5581395348837209</x:v>
      </x:c>
      <x:c r="S275" s="60" t="n">
        <x:f>K275*L275</x:f>
        <x:v>101134.290222937</x:v>
      </x:c>
      <x:c r="T275" s="60" t="n">
        <x:f>S275*H275</x:f>
        <x:v>21562.84479305538</x:v>
      </x:c>
      <x:c r="U275" s="60" t="n">
        <x:f>K275*G275</x:f>
        <x:v>48193.1627590048</x:v>
      </x:c>
      <x:c r="V275" s="60" t="n">
        <x:f>S275-T275-M275-N275-O275-P275-Q275-U275</x:f>
        <x:v>16113.086282454227</x:v>
      </x:c>
      <x:c r="W275" s="68" t="n">
        <x:f>IFERROR(V275/S275,0)</x:f>
        <x:v>0.1593236700127631</x:v>
      </x:c>
      <x:c r="X275" s="72" t="n">
        <x:f>IFERROR(S275/Q275,0)</x:f>
        <x:v>12.129480654407379</x:v>
      </x:c>
      <x:c r="Y275" s="30" t="str">
        <x:v>Моделируемые данные Unitmetra</x:v>
      </x:c>
    </x:row>
    <x:row r="276">
      <x:c r="A276" s="48" t="str">
        <x:v>2026-01</x:v>
      </x:c>
      <x:c r="B276" s="48" t="str">
        <x:v>UM-046</x:v>
      </x:c>
      <x:c r="C276" s="48" t="str">
        <x:v>Экопуховик</x:v>
      </x:c>
      <x:c r="D276" s="48" t="str">
        <x:v>Верхняя одежда</x:v>
      </x:c>
      <x:c r="E276" s="56" t="n">
        <x:v>5700</x:v>
      </x:c>
      <x:c r="F276" s="64" t="n">
        <x:v>0.23071425275630864</x:v>
      </x:c>
      <x:c r="G276" s="56" t="n">
        <x:v>2008.0484482918666</x:v>
      </x:c>
      <x:c r="H276" s="64" t="n">
        <x:v>0.21321002743503692</x:v>
      </x:c>
      <x:c r="I276" s="56" t="n">
        <x:v>26</x:v>
      </x:c>
      <x:c r="J276" s="56" t="n">
        <x:v>11</x:v>
      </x:c>
      <x:c r="K276" s="56" t="n">
        <x:v>15</x:v>
      </x:c>
      <x:c r="L276" s="56" t="n">
        <x:v>4384.9287592890405</x:v>
      </x:c>
      <x:c r="M276" s="56" t="n">
        <x:v>2408.395056959935</x:v>
      </x:c>
      <x:c r="N276" s="56" t="n">
        <x:v>628.9101412866377</x:v>
      </x:c>
      <x:c r="O276" s="56" t="n">
        <x:v>528.2524436669836</x:v>
      </x:c>
      <x:c r="P276" s="56" t="n">
        <x:v>0</x:v>
      </x:c>
      <x:c r="Q276" s="56" t="n">
        <x:v>5559.864383416673</x:v>
      </x:c>
      <x:c r="R276" s="68" t="n">
        <x:f>IFERROR(K276/I276,0)</x:f>
        <x:v>0.5769230769230769</x:v>
      </x:c>
      <x:c r="S276" s="60" t="n">
        <x:f>K276*L276</x:f>
        <x:v>65773.9313893356</x:v>
      </x:c>
      <x:c r="T276" s="60" t="n">
        <x:f>S276*H276</x:f>
        <x:v>14023.66171603048</x:v>
      </x:c>
      <x:c r="U276" s="60" t="n">
        <x:f>K276*G276</x:f>
        <x:v>30120.726724378</x:v>
      </x:c>
      <x:c r="V276" s="60" t="n">
        <x:f>S276-T276-M276-N276-O276-P276-Q276-U276</x:f>
        <x:v>12504.120923596893</x:v>
      </x:c>
      <x:c r="W276" s="68" t="n">
        <x:f>IFERROR(V276/S276,0)</x:f>
        <x:v>0.19010754959409762</x:v>
      </x:c>
      <x:c r="X276" s="72" t="n">
        <x:f>IFERROR(S276/Q276,0)</x:f>
        <x:v>11.830132329399715</x:v>
      </x:c>
      <x:c r="Y276" s="30" t="str">
        <x:v>Моделируемые данные Unitmetra</x:v>
      </x:c>
    </x:row>
    <x:row r="277">
      <x:c r="A277" s="48" t="str">
        <x:v>2026-02</x:v>
      </x:c>
      <x:c r="B277" s="48" t="str">
        <x:v>UM-046</x:v>
      </x:c>
      <x:c r="C277" s="48" t="str">
        <x:v>Экопуховик</x:v>
      </x:c>
      <x:c r="D277" s="48" t="str">
        <x:v>Верхняя одежда</x:v>
      </x:c>
      <x:c r="E277" s="56" t="n">
        <x:v>5700</x:v>
      </x:c>
      <x:c r="F277" s="64" t="n">
        <x:v>0.21071425275630873</x:v>
      </x:c>
      <x:c r="G277" s="56" t="n">
        <x:v>2008.0484482918666</x:v>
      </x:c>
      <x:c r="H277" s="64" t="n">
        <x:v>0.21321002743503692</x:v>
      </x:c>
      <x:c r="I277" s="56" t="n">
        <x:v>17</x:v>
      </x:c>
      <x:c r="J277" s="56" t="n">
        <x:v>7</x:v>
      </x:c>
      <x:c r="K277" s="56" t="n">
        <x:v>10</x:v>
      </x:c>
      <x:c r="L277" s="56" t="n">
        <x:v>4498.9287592890405</x:v>
      </x:c>
      <x:c r="M277" s="56" t="n">
        <x:v>1903.6685718883955</x:v>
      </x:c>
      <x:c r="N277" s="56" t="n">
        <x:v>571.3588086087148</x:v>
      </x:c>
      <x:c r="O277" s="56" t="n">
        <x:v>531.5022335847675</x:v>
      </x:c>
      <x:c r="P277" s="56" t="n">
        <x:v>0</x:v>
      </x:c>
      <x:c r="Q277" s="56" t="n">
        <x:v>3608.7445453411997</x:v>
      </x:c>
      <x:c r="R277" s="68" t="n">
        <x:f>IFERROR(K277/I277,0)</x:f>
        <x:v>0.5882352941176471</x:v>
      </x:c>
      <x:c r="S277" s="60" t="n">
        <x:f>K277*L277</x:f>
        <x:v>44989.2875928904</x:v>
      </x:c>
      <x:c r="T277" s="60" t="n">
        <x:f>S277*H277</x:f>
        <x:v>9592.167241962929</x:v>
      </x:c>
      <x:c r="U277" s="60" t="n">
        <x:f>K277*G277</x:f>
        <x:v>20080.484482918666</x:v>
      </x:c>
      <x:c r="V277" s="60" t="n">
        <x:f>S277-T277-M277-N277-O277-P277-Q277-U277</x:f>
        <x:v>8701.361708585737</x:v>
      </x:c>
      <x:c r="W277" s="68" t="n">
        <x:f>IFERROR(V277/S277,0)</x:f>
        <x:v>0.19340963536308145</x:v>
      </x:c>
      <x:c r="X277" s="72" t="n">
        <x:f>IFERROR(S277/Q277,0)</x:f>
        <x:v>12.466742111455483</x:v>
      </x:c>
      <x:c r="Y277" s="30" t="str">
        <x:v>Моделируемые данные Unitmetra</x:v>
      </x:c>
    </x:row>
    <x:row r="278">
      <x:c r="A278" s="48" t="str">
        <x:v>2025-09</x:v>
      </x:c>
      <x:c r="B278" s="48" t="str">
        <x:v>UM-047</x:v>
      </x:c>
      <x:c r="C278" s="48" t="str">
        <x:v>Косуха</x:v>
      </x:c>
      <x:c r="D278" s="48" t="str">
        <x:v>Верхняя одежда</x:v>
      </x:c>
      <x:c r="E278" s="56" t="n">
        <x:v>5700</x:v>
      </x:c>
      <x:c r="F278" s="64" t="n">
        <x:v>0.22566956637280045</x:v>
      </x:c>
      <x:c r="G278" s="56" t="n">
        <x:v>2511.6203273587635</x:v>
      </x:c>
      <x:c r="H278" s="64" t="n">
        <x:v>0.2081537139781477</x:v>
      </x:c>
      <x:c r="I278" s="56" t="n">
        <x:v>34</x:v>
      </x:c>
      <x:c r="J278" s="56" t="n">
        <x:v>20</x:v>
      </x:c>
      <x:c r="K278" s="56" t="n">
        <x:v>14</x:v>
      </x:c>
      <x:c r="L278" s="56" t="n">
        <x:v>4413.683471675037</x:v>
      </x:c>
      <x:c r="M278" s="56" t="n">
        <x:v>2903.901052325421</x:v>
      </x:c>
      <x:c r="N278" s="56" t="n">
        <x:v>1170.168339853525</x:v>
      </x:c>
      <x:c r="O278" s="56" t="n">
        <x:v>680.8217775636485</x:v>
      </x:c>
      <x:c r="P278" s="56" t="n">
        <x:v>94.04072332293622</x:v>
      </x:c>
      <x:c r="Q278" s="56" t="n">
        <x:v>12706.070740563342</x:v>
      </x:c>
      <x:c r="R278" s="68" t="n">
        <x:f>IFERROR(K278/I278,0)</x:f>
        <x:v>0.4117647058823529</x:v>
      </x:c>
      <x:c r="S278" s="60" t="n">
        <x:f>K278*L278</x:f>
        <x:v>61791.56860345052</x:v>
      </x:c>
      <x:c r="T278" s="60" t="n">
        <x:f>S278*H278</x:f>
        <x:v>12862.14449734373</x:v>
      </x:c>
      <x:c r="U278" s="60" t="n">
        <x:f>K278*G278</x:f>
        <x:v>35162.68458302269</x:v>
      </x:c>
      <x:c r="V278" s="60" t="n">
        <x:f>S278-T278-M278-N278-O278-P278-Q278-U278</x:f>
        <x:v>-3788.2631105447726</x:v>
      </x:c>
      <x:c r="W278" s="68" t="n">
        <x:f>IFERROR(V278/S278,0)</x:f>
        <x:v>-0.06130711998680725</x:v>
      </x:c>
      <x:c r="X278" s="72" t="n">
        <x:f>IFERROR(S278/Q278,0)</x:f>
        <x:v>4.863153201735669</x:v>
      </x:c>
      <x:c r="Y278" s="30" t="str">
        <x:v>Моделируемые данные Unitmetra</x:v>
      </x:c>
    </x:row>
    <x:row r="279">
      <x:c r="A279" s="48" t="str">
        <x:v>2025-10</x:v>
      </x:c>
      <x:c r="B279" s="48" t="str">
        <x:v>UM-047</x:v>
      </x:c>
      <x:c r="C279" s="48" t="str">
        <x:v>Косуха</x:v>
      </x:c>
      <x:c r="D279" s="48" t="str">
        <x:v>Верхняя одежда</x:v>
      </x:c>
      <x:c r="E279" s="56" t="n">
        <x:v>5700</x:v>
      </x:c>
      <x:c r="F279" s="64" t="n">
        <x:v>0.23566956637280068</x:v>
      </x:c>
      <x:c r="G279" s="56" t="n">
        <x:v>2511.6203273587635</x:v>
      </x:c>
      <x:c r="H279" s="64" t="n">
        <x:v>0.2081537139781477</x:v>
      </x:c>
      <x:c r="I279" s="56" t="n">
        <x:v>51</x:v>
      </x:c>
      <x:c r="J279" s="56" t="n">
        <x:v>29</x:v>
      </x:c>
      <x:c r="K279" s="56" t="n">
        <x:v>22</x:v>
      </x:c>
      <x:c r="L279" s="56" t="n">
        <x:v>4356.683471675036</x:v>
      </x:c>
      <x:c r="M279" s="56" t="n">
        <x:v>4866.2450321404995</x:v>
      </x:c>
      <x:c r="N279" s="56" t="n">
        <x:v>2322.200785004285</x:v>
      </x:c>
      <x:c r="O279" s="56" t="n">
        <x:v>1142.1874261434464</x:v>
      </x:c>
      <x:c r="P279" s="56" t="n">
        <x:v>0</x:v>
      </x:c>
      <x:c r="Q279" s="56" t="n">
        <x:v>19554.936815008346</x:v>
      </x:c>
      <x:c r="R279" s="68" t="n">
        <x:f>IFERROR(K279/I279,0)</x:f>
        <x:v>0.43137254901960786</x:v>
      </x:c>
      <x:c r="S279" s="60" t="n">
        <x:f>K279*L279</x:f>
        <x:v>95847.0363768508</x:v>
      </x:c>
      <x:c r="T279" s="60" t="n">
        <x:f>S279*H279</x:f>
        <x:v>19950.91659564012</x:v>
      </x:c>
      <x:c r="U279" s="60" t="n">
        <x:f>K279*G279</x:f>
        <x:v>55255.647201892796</x:v>
      </x:c>
      <x:c r="V279" s="60" t="n">
        <x:f>S279-T279-M279-N279-O279-P279-Q279-U279</x:f>
        <x:v>-7245.097478978707</x:v>
      </x:c>
      <x:c r="W279" s="68" t="n">
        <x:f>IFERROR(V279/S279,0)</x:f>
        <x:v>-0.0755902086580171</x:v>
      </x:c>
      <x:c r="X279" s="72" t="n">
        <x:f>IFERROR(S279/Q279,0)</x:f>
        <x:v>4.9014239873835095</x:v>
      </x:c>
      <x:c r="Y279" s="30" t="str">
        <x:v>Моделируемые данные Unitmetra</x:v>
      </x:c>
    </x:row>
    <x:row r="280">
      <x:c r="A280" s="48" t="str">
        <x:v>2025-11</x:v>
      </x:c>
      <x:c r="B280" s="48" t="str">
        <x:v>UM-047</x:v>
      </x:c>
      <x:c r="C280" s="48" t="str">
        <x:v>Косуха</x:v>
      </x:c>
      <x:c r="D280" s="48" t="str">
        <x:v>Верхняя одежда</x:v>
      </x:c>
      <x:c r="E280" s="56" t="n">
        <x:v>5700</x:v>
      </x:c>
      <x:c r="F280" s="64" t="n">
        <x:v>0.2656695663728006</x:v>
      </x:c>
      <x:c r="G280" s="56" t="n">
        <x:v>2511.6203273587635</x:v>
      </x:c>
      <x:c r="H280" s="64" t="n">
        <x:v>0.2081537139781477</x:v>
      </x:c>
      <x:c r="I280" s="56" t="n">
        <x:v>68</x:v>
      </x:c>
      <x:c r="J280" s="56" t="n">
        <x:v>40</x:v>
      </x:c>
      <x:c r="K280" s="56" t="n">
        <x:v>28</x:v>
      </x:c>
      <x:c r="L280" s="56" t="n">
        <x:v>4185.683471675036</x:v>
      </x:c>
      <x:c r="M280" s="56" t="n">
        <x:v>6400.947574468496</x:v>
      </x:c>
      <x:c r="N280" s="56" t="n">
        <x:v>3015.3822619097245</x:v>
      </x:c>
      <x:c r="O280" s="56" t="n">
        <x:v>980.412412289719</x:v>
      </x:c>
      <x:c r="P280" s="56" t="n">
        <x:v>145.81019453395163</x:v>
      </x:c>
      <x:c r="Q280" s="56" t="n">
        <x:v>24996.91867886249</x:v>
      </x:c>
      <x:c r="R280" s="68" t="n">
        <x:f>IFERROR(K280/I280,0)</x:f>
        <x:v>0.4117647058823529</x:v>
      </x:c>
      <x:c r="S280" s="60" t="n">
        <x:f>K280*L280</x:f>
        <x:v>117199.13720690101</x:v>
      </x:c>
      <x:c r="T280" s="60" t="n">
        <x:f>S280*H280</x:f>
        <x:v>24395.43568465096</x:v>
      </x:c>
      <x:c r="U280" s="60" t="n">
        <x:f>K280*G280</x:f>
        <x:v>70325.36916604538</x:v>
      </x:c>
      <x:c r="V280" s="60" t="n">
        <x:f>S280-T280-M280-N280-O280-P280-Q280-U280</x:f>
        <x:v>-13061.138765859709</x:v>
      </x:c>
      <x:c r="W280" s="68" t="n">
        <x:f>IFERROR(V280/S280,0)</x:f>
        <x:v>-0.11144398395017052</x:v>
      </x:c>
      <x:c r="X280" s="72" t="n">
        <x:f>IFERROR(S280/Q280,0)</x:f>
        <x:v>4.688543364586978</x:v>
      </x:c>
      <x:c r="Y280" s="30" t="str">
        <x:v>Моделируемые данные Unitmetra</x:v>
      </x:c>
    </x:row>
    <x:row r="281">
      <x:c r="A281" s="48" t="str">
        <x:v>2025-12</x:v>
      </x:c>
      <x:c r="B281" s="48" t="str">
        <x:v>UM-047</x:v>
      </x:c>
      <x:c r="C281" s="48" t="str">
        <x:v>Косуха</x:v>
      </x:c>
      <x:c r="D281" s="48" t="str">
        <x:v>Верхняя одежда</x:v>
      </x:c>
      <x:c r="E281" s="56" t="n">
        <x:v>5700</x:v>
      </x:c>
      <x:c r="F281" s="64" t="n">
        <x:v>0.2856695663728005</x:v>
      </x:c>
      <x:c r="G281" s="56" t="n">
        <x:v>2511.6203273587635</x:v>
      </x:c>
      <x:c r="H281" s="64" t="n">
        <x:v>0.2081537139781477</x:v>
      </x:c>
      <x:c r="I281" s="56" t="n">
        <x:v>57</x:v>
      </x:c>
      <x:c r="J281" s="56" t="n">
        <x:v>36</x:v>
      </x:c>
      <x:c r="K281" s="56" t="n">
        <x:v>21</x:v>
      </x:c>
      <x:c r="L281" s="56" t="n">
        <x:v>4071.6834716750373</x:v>
      </x:c>
      <x:c r="M281" s="56" t="n">
        <x:v>6226.748110778376</x:v>
      </x:c>
      <x:c r="N281" s="56" t="n">
        <x:v>2178.5127737887806</x:v>
      </x:c>
      <x:c r="O281" s="56" t="n">
        <x:v>529.0487479460414</x:v>
      </x:c>
      <x:c r="P281" s="56" t="n">
        <x:v>0</x:v>
      </x:c>
      <x:c r="Q281" s="56" t="n">
        <x:v>18056.458467827586</x:v>
      </x:c>
      <x:c r="R281" s="68" t="n">
        <x:f>IFERROR(K281/I281,0)</x:f>
        <x:v>0.3684210526315789</x:v>
      </x:c>
      <x:c r="S281" s="60" t="n">
        <x:f>K281*L281</x:f>
        <x:v>85505.35290517578</x:v>
      </x:c>
      <x:c r="T281" s="60" t="n">
        <x:f>S281*H281</x:f>
        <x:v>17798.25677222454</x:v>
      </x:c>
      <x:c r="U281" s="60" t="n">
        <x:f>K281*G281</x:f>
        <x:v>52744.02687453403</x:v>
      </x:c>
      <x:c r="V281" s="60" t="n">
        <x:f>S281-T281-M281-N281-O281-P281-Q281-U281</x:f>
        <x:v>-12027.698841923579</x:v>
      </x:c>
      <x:c r="W281" s="68" t="n">
        <x:f>IFERROR(V281/S281,0)</x:f>
        <x:v>-0.1406660335670695</x:v>
      </x:c>
      <x:c r="X281" s="72" t="n">
        <x:f>IFERROR(S281/Q281,0)</x:f>
        <x:v>4.735444276491232</x:v>
      </x:c>
      <x:c r="Y281" s="30" t="str">
        <x:v>Моделируемые данные Unitmetra</x:v>
      </x:c>
    </x:row>
    <x:row r="282">
      <x:c r="A282" s="48" t="str">
        <x:v>2026-01</x:v>
      </x:c>
      <x:c r="B282" s="48" t="str">
        <x:v>UM-047</x:v>
      </x:c>
      <x:c r="C282" s="48" t="str">
        <x:v>Косуха</x:v>
      </x:c>
      <x:c r="D282" s="48" t="str">
        <x:v>Верхняя одежда</x:v>
      </x:c>
      <x:c r="E282" s="56" t="n">
        <x:v>5700</x:v>
      </x:c>
      <x:c r="F282" s="64" t="n">
        <x:v>0.2556695663728007</x:v>
      </x:c>
      <x:c r="G282" s="56" t="n">
        <x:v>2511.6203273587635</x:v>
      </x:c>
      <x:c r="H282" s="64" t="n">
        <x:v>0.2081537139781477</x:v>
      </x:c>
      <x:c r="I282" s="56" t="n">
        <x:v>40</x:v>
      </x:c>
      <x:c r="J282" s="56" t="n">
        <x:v>23</x:v>
      </x:c>
      <x:c r="K282" s="56" t="n">
        <x:v>17</x:v>
      </x:c>
      <x:c r="L282" s="56" t="n">
        <x:v>4242.683471675036</x:v>
      </x:c>
      <x:c r="M282" s="56" t="n">
        <x:v>4093.8788743600894</x:v>
      </x:c>
      <x:c r="N282" s="56" t="n">
        <x:v>1459.9487368878306</x:v>
      </x:c>
      <x:c r="O282" s="56" t="n">
        <x:v>856.4889839645772</x:v>
      </x:c>
      <x:c r="P282" s="56" t="n">
        <x:v>0</x:v>
      </x:c>
      <x:c r="Q282" s="56" t="n">
        <x:v>16236.436240993342</x:v>
      </x:c>
      <x:c r="R282" s="68" t="n">
        <x:f>IFERROR(K282/I282,0)</x:f>
        <x:v>0.425</x:v>
      </x:c>
      <x:c r="S282" s="60" t="n">
        <x:f>K282*L282</x:f>
        <x:v>72125.61901847561</x:v>
      </x:c>
      <x:c r="T282" s="60" t="n">
        <x:f>S282*H282</x:f>
        <x:v>15013.215471668622</x:v>
      </x:c>
      <x:c r="U282" s="60" t="n">
        <x:f>K282*G282</x:f>
        <x:v>42697.545565098975</x:v>
      </x:c>
      <x:c r="V282" s="60" t="n">
        <x:f>S282-T282-M282-N282-O282-P282-Q282-U282</x:f>
        <x:v>-8231.89485449782</x:v>
      </x:c>
      <x:c r="W282" s="68" t="n">
        <x:f>IFERROR(V282/S282,0)</x:f>
        <x:v>-0.11413274459924076</x:v>
      </x:c>
      <x:c r="X282" s="72" t="n">
        <x:f>IFERROR(S282/Q282,0)</x:f>
        <x:v>4.442207510806755</x:v>
      </x:c>
      <x:c r="Y282" s="30" t="str">
        <x:v>Моделируемые данные Unitmetra</x:v>
      </x:c>
    </x:row>
    <x:row r="283">
      <x:c r="A283" s="48" t="str">
        <x:v>2026-02</x:v>
      </x:c>
      <x:c r="B283" s="48" t="str">
        <x:v>UM-047</x:v>
      </x:c>
      <x:c r="C283" s="48" t="str">
        <x:v>Косуха</x:v>
      </x:c>
      <x:c r="D283" s="48" t="str">
        <x:v>Верхняя одежда</x:v>
      </x:c>
      <x:c r="E283" s="56" t="n">
        <x:v>5700</x:v>
      </x:c>
      <x:c r="F283" s="64" t="n">
        <x:v>0.23566956637280068</x:v>
      </x:c>
      <x:c r="G283" s="56" t="n">
        <x:v>2511.6203273587635</x:v>
      </x:c>
      <x:c r="H283" s="64" t="n">
        <x:v>0.2081537139781477</x:v>
      </x:c>
      <x:c r="I283" s="56" t="n">
        <x:v>31</x:v>
      </x:c>
      <x:c r="J283" s="56" t="n">
        <x:v>19</x:v>
      </x:c>
      <x:c r="K283" s="56" t="n">
        <x:v>12</x:v>
      </x:c>
      <x:c r="L283" s="56" t="n">
        <x:v>4356.683471675036</x:v>
      </x:c>
      <x:c r="M283" s="56" t="n">
        <x:v>3665.2670623942677</x:v>
      </x:c>
      <x:c r="N283" s="56" t="n">
        <x:v>1604.0317567077607</x:v>
      </x:c>
      <x:c r="O283" s="56" t="n">
        <x:v>521.4266158309267</x:v>
      </x:c>
      <x:c r="P283" s="56" t="n">
        <x:v>0</x:v>
      </x:c>
      <x:c r="Q283" s="56" t="n">
        <x:v>11010.2386646995</x:v>
      </x:c>
      <x:c r="R283" s="68" t="n">
        <x:f>IFERROR(K283/I283,0)</x:f>
        <x:v>0.3870967741935484</x:v>
      </x:c>
      <x:c r="S283" s="60" t="n">
        <x:f>K283*L283</x:f>
        <x:v>52280.201660100436</x:v>
      </x:c>
      <x:c r="T283" s="60" t="n">
        <x:f>S283*H283</x:f>
        <x:v>10882.318143076429</x:v>
      </x:c>
      <x:c r="U283" s="60" t="n">
        <x:f>K283*G283</x:f>
        <x:v>30139.44392830516</x:v>
      </x:c>
      <x:c r="V283" s="60" t="n">
        <x:f>S283-T283-M283-N283-O283-P283-Q283-U283</x:f>
        <x:v>-5542.5245109136085</x:v>
      </x:c>
      <x:c r="W283" s="68" t="n">
        <x:f>IFERROR(V283/S283,0)</x:f>
        <x:v>-0.10601574467803919</x:v>
      </x:c>
      <x:c r="X283" s="72" t="n">
        <x:f>IFERROR(S283/Q283,0)</x:f>
        <x:v>4.74832592210001</x:v>
      </x:c>
      <x:c r="Y283" s="30" t="str">
        <x:v>Моделируемые данные Unitmetra</x:v>
      </x:c>
    </x:row>
    <x:row r="284">
      <x:c r="A284" s="48" t="str">
        <x:v>2025-09</x:v>
      </x:c>
      <x:c r="B284" s="48" t="str">
        <x:v>UM-048</x:v>
      </x:c>
      <x:c r="C284" s="48" t="str">
        <x:v>Пальто-халат</x:v>
      </x:c>
      <x:c r="D284" s="48" t="str">
        <x:v>Верхняя одежда</x:v>
      </x:c>
      <x:c r="E284" s="56" t="n">
        <x:v>5600</x:v>
      </x:c>
      <x:c r="F284" s="64" t="n">
        <x:v>0.2575829059696467</x:v>
      </x:c>
      <x:c r="G284" s="56" t="n">
        <x:v>1648.0158865804829</x:v>
      </x:c>
      <x:c r="H284" s="64" t="n">
        <x:v>0.2101251673914063</x:v>
      </x:c>
      <x:c r="I284" s="56" t="n">
        <x:v>30</x:v>
      </x:c>
      <x:c r="J284" s="56" t="n">
        <x:v>13</x:v>
      </x:c>
      <x:c r="K284" s="56" t="n">
        <x:v>17</x:v>
      </x:c>
      <x:c r="L284" s="56" t="n">
        <x:v>4157.535726569979</x:v>
      </x:c>
      <x:c r="M284" s="56" t="n">
        <x:v>2941.458352988719</x:v>
      </x:c>
      <x:c r="N284" s="56" t="n">
        <x:v>895.4915857485461</x:v>
      </x:c>
      <x:c r="O284" s="56" t="n">
        <x:v>914.258045425971</x:v>
      </x:c>
      <x:c r="P284" s="56" t="n">
        <x:v>0</x:v>
      </x:c>
      <x:c r="Q284" s="56" t="n">
        <x:v>6401.47965519333</x:v>
      </x:c>
      <x:c r="R284" s="68" t="n">
        <x:f>IFERROR(K284/I284,0)</x:f>
        <x:v>0.5666666666666667</x:v>
      </x:c>
      <x:c r="S284" s="60" t="n">
        <x:f>K284*L284</x:f>
        <x:v>70678.10735168963</x:v>
      </x:c>
      <x:c r="T284" s="60" t="n">
        <x:f>S284*H284</x:f>
        <x:v>14851.249138181567</x:v>
      </x:c>
      <x:c r="U284" s="60" t="n">
        <x:f>K284*G284</x:f>
        <x:v>28016.27007186821</x:v>
      </x:c>
      <x:c r="V284" s="60" t="n">
        <x:f>S284-T284-M284-N284-O284-P284-Q284-U284</x:f>
        <x:v>16657.900502283286</x:v>
      </x:c>
      <x:c r="W284" s="68" t="n">
        <x:f>IFERROR(V284/S284,0)</x:f>
        <x:v>0.23568685023489191</x:v>
      </x:c>
      <x:c r="X284" s="72" t="n">
        <x:f>IFERROR(S284/Q284,0)</x:f>
        <x:v>11.040901660032706</x:v>
      </x:c>
      <x:c r="Y284" s="30" t="str">
        <x:v>Моделируемые данные Unitmetra</x:v>
      </x:c>
    </x:row>
    <x:row r="285">
      <x:c r="A285" s="48" t="str">
        <x:v>2025-10</x:v>
      </x:c>
      <x:c r="B285" s="48" t="str">
        <x:v>UM-048</x:v>
      </x:c>
      <x:c r="C285" s="48" t="str">
        <x:v>Пальто-халат</x:v>
      </x:c>
      <x:c r="D285" s="48" t="str">
        <x:v>Верхняя одежда</x:v>
      </x:c>
      <x:c r="E285" s="56" t="n">
        <x:v>5600</x:v>
      </x:c>
      <x:c r="F285" s="64" t="n">
        <x:v>0.26758290596964673</x:v>
      </x:c>
      <x:c r="G285" s="56" t="n">
        <x:v>1648.0158865804829</x:v>
      </x:c>
      <x:c r="H285" s="64" t="n">
        <x:v>0.2101251673914063</x:v>
      </x:c>
      <x:c r="I285" s="56" t="n">
        <x:v>53</x:v>
      </x:c>
      <x:c r="J285" s="56" t="n">
        <x:v>25</x:v>
      </x:c>
      <x:c r="K285" s="56" t="n">
        <x:v>28</x:v>
      </x:c>
      <x:c r="L285" s="56" t="n">
        <x:v>4101.535726569979</x:v>
      </x:c>
      <x:c r="M285" s="56" t="n">
        <x:v>4336.8040451258175</x:v>
      </x:c>
      <x:c r="N285" s="56" t="n">
        <x:v>1965.2058518590927</x:v>
      </x:c>
      <x:c r="O285" s="56" t="n">
        <x:v>539.0406785087363</x:v>
      </x:c>
      <x:c r="P285" s="56" t="n">
        <x:v>127.96675488782941</x:v>
      </x:c>
      <x:c r="Q285" s="56" t="n">
        <x:v>9882.499196502025</x:v>
      </x:c>
      <x:c r="R285" s="68" t="n">
        <x:f>IFERROR(K285/I285,0)</x:f>
        <x:v>0.5283018867924528</x:v>
      </x:c>
      <x:c r="S285" s="60" t="n">
        <x:f>K285*L285</x:f>
        <x:v>114843.0003439594</x:v>
      </x:c>
      <x:c r="T285" s="60" t="n">
        <x:f>S285*H285</x:f>
        <x:v>24131.4046710058</x:v>
      </x:c>
      <x:c r="U285" s="60" t="n">
        <x:f>K285*G285</x:f>
        <x:v>46144.44482425352</x:v>
      </x:c>
      <x:c r="V285" s="60" t="n">
        <x:f>S285-T285-M285-N285-O285-P285-Q285-U285</x:f>
        <x:v>27715.634321816564</x:v>
      </x:c>
      <x:c r="W285" s="68" t="n">
        <x:f>IFERROR(V285/S285,0)</x:f>
        <x:v>0.24133498984532906</x:v>
      </x:c>
      <x:c r="X285" s="72" t="n">
        <x:f>IFERROR(S285/Q285,0)</x:f>
        <x:v>11.620845907542176</x:v>
      </x:c>
      <x:c r="Y285" s="30" t="str">
        <x:v>Моделируемые данные Unitmetra</x:v>
      </x:c>
    </x:row>
    <x:row r="286">
      <x:c r="A286" s="48" t="str">
        <x:v>2025-11</x:v>
      </x:c>
      <x:c r="B286" s="48" t="str">
        <x:v>UM-048</x:v>
      </x:c>
      <x:c r="C286" s="48" t="str">
        <x:v>Пальто-халат</x:v>
      </x:c>
      <x:c r="D286" s="48" t="str">
        <x:v>Верхняя одежда</x:v>
      </x:c>
      <x:c r="E286" s="56" t="n">
        <x:v>5600</x:v>
      </x:c>
      <x:c r="F286" s="64" t="n">
        <x:v>0.29758290596964665</x:v>
      </x:c>
      <x:c r="G286" s="56" t="n">
        <x:v>1648.0158865804829</x:v>
      </x:c>
      <x:c r="H286" s="64" t="n">
        <x:v>0.2101251673914063</x:v>
      </x:c>
      <x:c r="I286" s="56" t="n">
        <x:v>75</x:v>
      </x:c>
      <x:c r="J286" s="56" t="n">
        <x:v>30</x:v>
      </x:c>
      <x:c r="K286" s="56" t="n">
        <x:v>45</x:v>
      </x:c>
      <x:c r="L286" s="56" t="n">
        <x:v>3933.5357265699786</x:v>
      </x:c>
      <x:c r="M286" s="56" t="n">
        <x:v>7129.408303219098</x:v>
      </x:c>
      <x:c r="N286" s="56" t="n">
        <x:v>1992.2120255093741</x:v>
      </x:c>
      <x:c r="O286" s="56" t="n">
        <x:v>780.623535371372</x:v>
      </x:c>
      <x:c r="P286" s="56" t="n">
        <x:v>0</x:v>
      </x:c>
      <x:c r="Q286" s="56" t="n">
        <x:v>13571.730461470404</x:v>
      </x:c>
      <x:c r="R286" s="68" t="n">
        <x:f>IFERROR(K286/I286,0)</x:f>
        <x:v>0.6</x:v>
      </x:c>
      <x:c r="S286" s="60" t="n">
        <x:f>K286*L286</x:f>
        <x:v>177009.10769564903</x:v>
      </x:c>
      <x:c r="T286" s="60" t="n">
        <x:f>S286*H286</x:f>
        <x:v>37194.06838435172</x:v>
      </x:c>
      <x:c r="U286" s="60" t="n">
        <x:f>K286*G286</x:f>
        <x:v>74160.71489612173</x:v>
      </x:c>
      <x:c r="V286" s="60" t="n">
        <x:f>S286-T286-M286-N286-O286-P286-Q286-U286</x:f>
        <x:v>42180.350089605316</x:v>
      </x:c>
      <x:c r="W286" s="68" t="n">
        <x:f>IFERROR(V286/S286,0)</x:f>
        <x:v>0.23829480097787153</x:v>
      </x:c>
      <x:c r="X286" s="72" t="n">
        <x:f>IFERROR(S286/Q286,0)</x:f>
        <x:v>13.042486232553081</x:v>
      </x:c>
      <x:c r="Y286" s="30" t="str">
        <x:v>Моделируемые данные Unitmetra</x:v>
      </x:c>
    </x:row>
    <x:row r="287">
      <x:c r="A287" s="48" t="str">
        <x:v>2025-12</x:v>
      </x:c>
      <x:c r="B287" s="48" t="str">
        <x:v>UM-048</x:v>
      </x:c>
      <x:c r="C287" s="48" t="str">
        <x:v>Пальто-халат</x:v>
      </x:c>
      <x:c r="D287" s="48" t="str">
        <x:v>Верхняя одежда</x:v>
      </x:c>
      <x:c r="E287" s="56" t="n">
        <x:v>5600</x:v>
      </x:c>
      <x:c r="F287" s="64" t="n">
        <x:v>0.31758290596964656</x:v>
      </x:c>
      <x:c r="G287" s="56" t="n">
        <x:v>1648.0158865804829</x:v>
      </x:c>
      <x:c r="H287" s="64" t="n">
        <x:v>0.2101251673914063</x:v>
      </x:c>
      <x:c r="I287" s="56" t="n">
        <x:v>64</x:v>
      </x:c>
      <x:c r="J287" s="56" t="n">
        <x:v>26</x:v>
      </x:c>
      <x:c r="K287" s="56" t="n">
        <x:v>38</x:v>
      </x:c>
      <x:c r="L287" s="56" t="n">
        <x:v>3821.5357265699795</x:v>
      </x:c>
      <x:c r="M287" s="56" t="n">
        <x:v>6225.103567813183</x:v>
      </x:c>
      <x:c r="N287" s="56" t="n">
        <x:v>2013.2759840543984</x:v>
      </x:c>
      <x:c r="O287" s="56" t="n">
        <x:v>668.2432166947236</x:v>
      </x:c>
      <x:c r="P287" s="56" t="n">
        <x:v>0</x:v>
      </x:c>
      <x:c r="Q287" s="56" t="n">
        <x:v>11139.282733275115</x:v>
      </x:c>
      <x:c r="R287" s="68" t="n">
        <x:f>IFERROR(K287/I287,0)</x:f>
        <x:v>0.59375</x:v>
      </x:c>
      <x:c r="S287" s="60" t="n">
        <x:f>K287*L287</x:f>
        <x:v>145218.35760965923</x:v>
      </x:c>
      <x:c r="T287" s="60" t="n">
        <x:f>S287*H287</x:f>
        <x:v>30514.031701034746</x:v>
      </x:c>
      <x:c r="U287" s="60" t="n">
        <x:f>K287*G287</x:f>
        <x:v>62624.60369005835</x:v>
      </x:c>
      <x:c r="V287" s="60" t="n">
        <x:f>S287-T287-M287-N287-O287-P287-Q287-U287</x:f>
        <x:v>32033.816716728696</x:v>
      </x:c>
      <x:c r="W287" s="68" t="n">
        <x:f>IFERROR(V287/S287,0)</x:f>
        <x:v>0.2205906831892028</x:v>
      </x:c>
      <x:c r="X287" s="72" t="n">
        <x:f>IFERROR(S287/Q287,0)</x:f>
        <x:v>13.036598593180951</x:v>
      </x:c>
      <x:c r="Y287" s="30" t="str">
        <x:v>Моделируемые данные Unitmetra</x:v>
      </x:c>
    </x:row>
    <x:row r="288">
      <x:c r="A288" s="48" t="str">
        <x:v>2026-01</x:v>
      </x:c>
      <x:c r="B288" s="48" t="str">
        <x:v>UM-048</x:v>
      </x:c>
      <x:c r="C288" s="48" t="str">
        <x:v>Пальто-халат</x:v>
      </x:c>
      <x:c r="D288" s="48" t="str">
        <x:v>Верхняя одежда</x:v>
      </x:c>
      <x:c r="E288" s="56" t="n">
        <x:v>5600</x:v>
      </x:c>
      <x:c r="F288" s="64" t="n">
        <x:v>0.28758290596964664</x:v>
      </x:c>
      <x:c r="G288" s="56" t="n">
        <x:v>1648.0158865804829</x:v>
      </x:c>
      <x:c r="H288" s="64" t="n">
        <x:v>0.2101251673914063</x:v>
      </x:c>
      <x:c r="I288" s="56" t="n">
        <x:v>38</x:v>
      </x:c>
      <x:c r="J288" s="56" t="n">
        <x:v>15</x:v>
      </x:c>
      <x:c r="K288" s="56" t="n">
        <x:v>23</x:v>
      </x:c>
      <x:c r="L288" s="56" t="n">
        <x:v>3989.535726569979</x:v>
      </x:c>
      <x:c r="M288" s="56" t="n">
        <x:v>3228.262459316539</x:v>
      </x:c>
      <x:c r="N288" s="56" t="n">
        <x:v>1009.698663099951</x:v>
      </x:c>
      <x:c r="O288" s="56" t="n">
        <x:v>628.812352990872</x:v>
      </x:c>
      <x:c r="P288" s="56" t="n">
        <x:v>0</x:v>
      </x:c>
      <x:c r="Q288" s="56" t="n">
        <x:v>6700.779139897217</x:v>
      </x:c>
      <x:c r="R288" s="68" t="n">
        <x:f>IFERROR(K288/I288,0)</x:f>
        <x:v>0.6052631578947368</x:v>
      </x:c>
      <x:c r="S288" s="60" t="n">
        <x:f>K288*L288</x:f>
        <x:v>91759.32171110951</x:v>
      </x:c>
      <x:c r="T288" s="60" t="n">
        <x:f>S288*H288</x:f>
        <x:v>19280.94283426879</x:v>
      </x:c>
      <x:c r="U288" s="60" t="n">
        <x:f>K288*G288</x:f>
        <x:v>37904.36539135111</x:v>
      </x:c>
      <x:c r="V288" s="60" t="n">
        <x:f>S288-T288-M288-N288-O288-P288-Q288-U288</x:f>
        <x:v>23006.460870185037</x:v>
      </x:c>
      <x:c r="W288" s="68" t="n">
        <x:f>IFERROR(V288/S288,0)</x:f>
        <x:v>0.25072614358045753</x:v>
      </x:c>
      <x:c r="X288" s="72" t="n">
        <x:f>IFERROR(S288/Q288,0)</x:f>
        <x:v>13.69382870191376</x:v>
      </x:c>
      <x:c r="Y288" s="30" t="str">
        <x:v>Моделируемые данные Unitmetra</x:v>
      </x:c>
    </x:row>
    <x:row r="289">
      <x:c r="A289" s="48" t="str">
        <x:v>2026-02</x:v>
      </x:c>
      <x:c r="B289" s="48" t="str">
        <x:v>UM-048</x:v>
      </x:c>
      <x:c r="C289" s="48" t="str">
        <x:v>Пальто-халат</x:v>
      </x:c>
      <x:c r="D289" s="48" t="str">
        <x:v>Верхняя одежда</x:v>
      </x:c>
      <x:c r="E289" s="56" t="n">
        <x:v>5600</x:v>
      </x:c>
      <x:c r="F289" s="64" t="n">
        <x:v>0.26758290596964673</x:v>
      </x:c>
      <x:c r="G289" s="56" t="n">
        <x:v>1648.0158865804829</x:v>
      </x:c>
      <x:c r="H289" s="64" t="n">
        <x:v>0.2101251673914063</x:v>
      </x:c>
      <x:c r="I289" s="56" t="n">
        <x:v>26</x:v>
      </x:c>
      <x:c r="J289" s="56" t="n">
        <x:v>11</x:v>
      </x:c>
      <x:c r="K289" s="56" t="n">
        <x:v>15</x:v>
      </x:c>
      <x:c r="L289" s="56" t="n">
        <x:v>4101.535726569979</x:v>
      </x:c>
      <x:c r="M289" s="56" t="n">
        <x:v>2339.530102976269</x:v>
      </x:c>
      <x:c r="N289" s="56" t="n">
        <x:v>644.1001332770845</x:v>
      </x:c>
      <x:c r="O289" s="56" t="n">
        <x:v>525.1098856514692</x:v>
      </x:c>
      <x:c r="P289" s="56" t="n">
        <x:v>0</x:v>
      </x:c>
      <x:c r="Q289" s="56" t="n">
        <x:v>4685.213309020753</x:v>
      </x:c>
      <x:c r="R289" s="68" t="n">
        <x:f>IFERROR(K289/I289,0)</x:f>
        <x:v>0.5769230769230769</x:v>
      </x:c>
      <x:c r="S289" s="60" t="n">
        <x:f>K289*L289</x:f>
        <x:v>61523.03589854968</x:v>
      </x:c>
      <x:c r="T289" s="60" t="n">
        <x:f>S289*H289</x:f>
        <x:v>12927.53821661025</x:v>
      </x:c>
      <x:c r="U289" s="60" t="n">
        <x:f>K289*G289</x:f>
        <x:v>24720.23829870724</x:v>
      </x:c>
      <x:c r="V289" s="60" t="n">
        <x:f>S289-T289-M289-N289-O289-P289-Q289-U289</x:f>
        <x:v>15681.305952306611</x:v>
      </x:c>
      <x:c r="W289" s="68" t="n">
        <x:f>IFERROR(V289/S289,0)</x:f>
        <x:v>0.2548851129220084</x:v>
      </x:c>
      <x:c r="X289" s="72" t="n">
        <x:f>IFERROR(S289/Q289,0)</x:f>
        <x:v>13.13132014290476</x:v>
      </x:c>
      <x:c r="Y289" s="30" t="str">
        <x:v>Моделируемые данные Unitmetra</x:v>
      </x:c>
    </x:row>
    <x:row r="290">
      <x:c r="A290" s="48" t="str">
        <x:v>2025-09</x:v>
      </x:c>
      <x:c r="B290" s="48" t="str">
        <x:v>UM-049</x:v>
      </x:c>
      <x:c r="C290" s="48" t="str">
        <x:v>Бомбер</x:v>
      </x:c>
      <x:c r="D290" s="48" t="str">
        <x:v>Верхняя одежда</x:v>
      </x:c>
      <x:c r="E290" s="56" t="n">
        <x:v>5200</x:v>
      </x:c>
      <x:c r="F290" s="64" t="n">
        <x:v>0.2561145005234283</x:v>
      </x:c>
      <x:c r="G290" s="56" t="n">
        <x:v>1456.7237685458767</x:v>
      </x:c>
      <x:c r="H290" s="64" t="n">
        <x:v>0.18480927755132306</x:v>
      </x:c>
      <x:c r="I290" s="56" t="n">
        <x:v>42</x:v>
      </x:c>
      <x:c r="J290" s="56" t="n">
        <x:v>15</x:v>
      </x:c>
      <x:c r="K290" s="56" t="n">
        <x:v>27</x:v>
      </x:c>
      <x:c r="L290" s="56" t="n">
        <x:v>3868.2045972781725</x:v>
      </x:c>
      <x:c r="M290" s="56" t="n">
        <x:v>3517.191527822785</x:v>
      </x:c>
      <x:c r="N290" s="56" t="n">
        <x:v>1072.3530296682345</x:v>
      </x:c>
      <x:c r="O290" s="56" t="n">
        <x:v>690.1017963221907</x:v>
      </x:c>
      <x:c r="P290" s="56" t="n">
        <x:v>149.45160056957872</x:v>
      </x:c>
      <x:c r="Q290" s="56" t="n">
        <x:v>10426.282475126036</x:v>
      </x:c>
      <x:c r="R290" s="68" t="n">
        <x:f>IFERROR(K290/I290,0)</x:f>
        <x:v>0.6428571428571429</x:v>
      </x:c>
      <x:c r="S290" s="60" t="n">
        <x:f>K290*L290</x:f>
        <x:v>104441.52412651066</x:v>
      </x:c>
      <x:c r="T290" s="60" t="n">
        <x:f>S290*H290</x:f>
        <x:v>19301.762620179514</x:v>
      </x:c>
      <x:c r="U290" s="60" t="n">
        <x:f>K290*G290</x:f>
        <x:v>39331.541750738674</x:v>
      </x:c>
      <x:c r="V290" s="60" t="n">
        <x:f>S290-T290-M290-N290-O290-P290-Q290-U290</x:f>
        <x:v>29952.83932608366</x:v>
      </x:c>
      <x:c r="W290" s="68" t="n">
        <x:f>IFERROR(V290/S290,0)</x:f>
        <x:v>0.28679052298970287</x:v>
      </x:c>
      <x:c r="X290" s="72" t="n">
        <x:f>IFERROR(S290/Q290,0)</x:f>
        <x:v>10.017139318417339</x:v>
      </x:c>
      <x:c r="Y290" s="30" t="str">
        <x:v>Моделируемые данные Unitmetra</x:v>
      </x:c>
    </x:row>
    <x:row r="291">
      <x:c r="A291" s="48" t="str">
        <x:v>2025-10</x:v>
      </x:c>
      <x:c r="B291" s="48" t="str">
        <x:v>UM-049</x:v>
      </x:c>
      <x:c r="C291" s="48" t="str">
        <x:v>Бомбер</x:v>
      </x:c>
      <x:c r="D291" s="48" t="str">
        <x:v>Верхняя одежда</x:v>
      </x:c>
      <x:c r="E291" s="56" t="n">
        <x:v>5200</x:v>
      </x:c>
      <x:c r="F291" s="64" t="n">
        <x:v>0.26611450052342833</x:v>
      </x:c>
      <x:c r="G291" s="56" t="n">
        <x:v>1456.7237685458767</x:v>
      </x:c>
      <x:c r="H291" s="64" t="n">
        <x:v>0.18480927755132306</x:v>
      </x:c>
      <x:c r="I291" s="56" t="n">
        <x:v>65</x:v>
      </x:c>
      <x:c r="J291" s="56" t="n">
        <x:v>24</x:v>
      </x:c>
      <x:c r="K291" s="56" t="n">
        <x:v>41</x:v>
      </x:c>
      <x:c r="L291" s="56" t="n">
        <x:v>3816.2045972781725</x:v>
      </x:c>
      <x:c r="M291" s="56" t="n">
        <x:v>7751.318962382509</x:v>
      </x:c>
      <x:c r="N291" s="56" t="n">
        <x:v>1764.7153729223974</x:v>
      </x:c>
      <x:c r="O291" s="56" t="n">
        <x:v>821.9947387018202</x:v>
      </x:c>
      <x:c r="P291" s="56" t="n">
        <x:v>0</x:v>
      </x:c>
      <x:c r="Q291" s="56" t="n">
        <x:v>12215.776105867317</x:v>
      </x:c>
      <x:c r="R291" s="68" t="n">
        <x:f>IFERROR(K291/I291,0)</x:f>
        <x:v>0.6307692307692307</x:v>
      </x:c>
      <x:c r="S291" s="60" t="n">
        <x:f>K291*L291</x:f>
        <x:v>156464.38848840506</x:v>
      </x:c>
      <x:c r="T291" s="60" t="n">
        <x:f>S291*H291</x:f>
        <x:v>28916.070599051687</x:v>
      </x:c>
      <x:c r="U291" s="60" t="n">
        <x:f>K291*G291</x:f>
        <x:v>59725.674510380944</x:v>
      </x:c>
      <x:c r="V291" s="60" t="n">
        <x:f>S291-T291-M291-N291-O291-P291-Q291-U291</x:f>
        <x:v>45268.8381990984</x:v>
      </x:c>
      <x:c r="W291" s="68" t="n">
        <x:f>IFERROR(V291/S291,0)</x:f>
        <x:v>0.2893235875360423</x:v>
      </x:c>
      <x:c r="X291" s="72" t="n">
        <x:f>IFERROR(S291/Q291,0)</x:f>
        <x:v>12.808387050680652</x:v>
      </x:c>
      <x:c r="Y291" s="30" t="str">
        <x:v>Моделируемые данные Unitmetra</x:v>
      </x:c>
    </x:row>
    <x:row r="292">
      <x:c r="A292" s="48" t="str">
        <x:v>2025-11</x:v>
      </x:c>
      <x:c r="B292" s="48" t="str">
        <x:v>UM-049</x:v>
      </x:c>
      <x:c r="C292" s="48" t="str">
        <x:v>Бомбер</x:v>
      </x:c>
      <x:c r="D292" s="48" t="str">
        <x:v>Верхняя одежда</x:v>
      </x:c>
      <x:c r="E292" s="56" t="n">
        <x:v>5200</x:v>
      </x:c>
      <x:c r="F292" s="64" t="n">
        <x:v>0.29611450052342825</x:v>
      </x:c>
      <x:c r="G292" s="56" t="n">
        <x:v>1456.7237685458767</x:v>
      </x:c>
      <x:c r="H292" s="64" t="n">
        <x:v>0.18480927755132306</x:v>
      </x:c>
      <x:c r="I292" s="56" t="n">
        <x:v>93</x:v>
      </x:c>
      <x:c r="J292" s="56" t="n">
        <x:v>32</x:v>
      </x:c>
      <x:c r="K292" s="56" t="n">
        <x:v>61</x:v>
      </x:c>
      <x:c r="L292" s="56" t="n">
        <x:v>3660.204597278173</x:v>
      </x:c>
      <x:c r="M292" s="56" t="n">
        <x:v>9002.710862926384</x:v>
      </x:c>
      <x:c r="N292" s="56" t="n">
        <x:v>2128.5937409380913</x:v>
      </x:c>
      <x:c r="O292" s="56" t="n">
        <x:v>804.7628605337143</x:v>
      </x:c>
      <x:c r="P292" s="56" t="n">
        <x:v>0</x:v>
      </x:c>
      <x:c r="Q292" s="56" t="n">
        <x:v>21890.085127637896</x:v>
      </x:c>
      <x:c r="R292" s="68" t="n">
        <x:f>IFERROR(K292/I292,0)</x:f>
        <x:v>0.6559139784946236</x:v>
      </x:c>
      <x:c r="S292" s="60" t="n">
        <x:f>K292*L292</x:f>
        <x:v>223272.48043396857</x:v>
      </x:c>
      <x:c r="T292" s="60" t="n">
        <x:f>S292*H292</x:f>
        <x:v>41262.82580609364</x:v>
      </x:c>
      <x:c r="U292" s="60" t="n">
        <x:f>K292*G292</x:f>
        <x:v>88860.14988129848</x:v>
      </x:c>
      <x:c r="V292" s="60" t="n">
        <x:f>S292-T292-M292-N292-O292-P292-Q292-U292</x:f>
        <x:v>59323.352154540364</x:v>
      </x:c>
      <x:c r="W292" s="68" t="n">
        <x:f>IFERROR(V292/S292,0)</x:f>
        <x:v>0.26569934655285415</x:v>
      </x:c>
      <x:c r="X292" s="72" t="n">
        <x:f>IFERROR(S292/Q292,0)</x:f>
        <x:v>10.199708184417707</x:v>
      </x:c>
      <x:c r="Y292" s="30" t="str">
        <x:v>Моделируемые данные Unitmetra</x:v>
      </x:c>
    </x:row>
    <x:row r="293">
      <x:c r="A293" s="48" t="str">
        <x:v>2025-12</x:v>
      </x:c>
      <x:c r="B293" s="48" t="str">
        <x:v>UM-049</x:v>
      </x:c>
      <x:c r="C293" s="48" t="str">
        <x:v>Бомбер</x:v>
      </x:c>
      <x:c r="D293" s="48" t="str">
        <x:v>Верхняя одежда</x:v>
      </x:c>
      <x:c r="E293" s="56" t="n">
        <x:v>5200</x:v>
      </x:c>
      <x:c r="F293" s="64" t="n">
        <x:v>0.31611450052342827</x:v>
      </x:c>
      <x:c r="G293" s="56" t="n">
        <x:v>1456.7237685458767</x:v>
      </x:c>
      <x:c r="H293" s="64" t="n">
        <x:v>0.18480927755132306</x:v>
      </x:c>
      <x:c r="I293" s="56" t="n">
        <x:v>80</x:v>
      </x:c>
      <x:c r="J293" s="56" t="n">
        <x:v>34</x:v>
      </x:c>
      <x:c r="K293" s="56" t="n">
        <x:v>46</x:v>
      </x:c>
      <x:c r="L293" s="56" t="n">
        <x:v>3556.204597278173</x:v>
      </x:c>
      <x:c r="M293" s="56" t="n">
        <x:v>6584.323361212719</x:v>
      </x:c>
      <x:c r="N293" s="56" t="n">
        <x:v>2811.321650183694</x:v>
      </x:c>
      <x:c r="O293" s="56" t="n">
        <x:v>725.451151118202</x:v>
      </x:c>
      <x:c r="P293" s="56" t="n">
        <x:v>0</x:v>
      </x:c>
      <x:c r="Q293" s="56" t="n">
        <x:v>14243.671407499034</x:v>
      </x:c>
      <x:c r="R293" s="68" t="n">
        <x:f>IFERROR(K293/I293,0)</x:f>
        <x:v>0.575</x:v>
      </x:c>
      <x:c r="S293" s="60" t="n">
        <x:f>K293*L293</x:f>
        <x:v>163585.41147479595</x:v>
      </x:c>
      <x:c r="T293" s="60" t="n">
        <x:f>S293*H293</x:f>
        <x:v>30232.101712592954</x:v>
      </x:c>
      <x:c r="U293" s="60" t="n">
        <x:f>K293*G293</x:f>
        <x:v>67009.29335311033</x:v>
      </x:c>
      <x:c r="V293" s="60" t="n">
        <x:f>S293-T293-M293-N293-O293-P293-Q293-U293</x:f>
        <x:v>41979.24883907901</x:v>
      </x:c>
      <x:c r="W293" s="68" t="n">
        <x:f>IFERROR(V293/S293,0)</x:f>
        <x:v>0.2566197588196724</x:v>
      </x:c>
      <x:c r="X293" s="72" t="n">
        <x:f>IFERROR(S293/Q293,0)</x:f>
        <x:v>11.484778523370823</x:v>
      </x:c>
      <x:c r="Y293" s="30" t="str">
        <x:v>Моделируемые данные Unitmetra</x:v>
      </x:c>
    </x:row>
    <x:row r="294">
      <x:c r="A294" s="48" t="str">
        <x:v>2026-01</x:v>
      </x:c>
      <x:c r="B294" s="48" t="str">
        <x:v>UM-049</x:v>
      </x:c>
      <x:c r="C294" s="48" t="str">
        <x:v>Бомбер</x:v>
      </x:c>
      <x:c r="D294" s="48" t="str">
        <x:v>Верхняя одежда</x:v>
      </x:c>
      <x:c r="E294" s="56" t="n">
        <x:v>5200</x:v>
      </x:c>
      <x:c r="F294" s="64" t="n">
        <x:v>0.28611450052342835</x:v>
      </x:c>
      <x:c r="G294" s="56" t="n">
        <x:v>1456.7237685458767</x:v>
      </x:c>
      <x:c r="H294" s="64" t="n">
        <x:v>0.18480927755132306</x:v>
      </x:c>
      <x:c r="I294" s="56" t="n">
        <x:v>51</x:v>
      </x:c>
      <x:c r="J294" s="56" t="n">
        <x:v>20</x:v>
      </x:c>
      <x:c r="K294" s="56" t="n">
        <x:v>31</x:v>
      </x:c>
      <x:c r="L294" s="56" t="n">
        <x:v>3712.2045972781725</x:v>
      </x:c>
      <x:c r="M294" s="56" t="n">
        <x:v>4396.169763336356</x:v>
      </x:c>
      <x:c r="N294" s="56" t="n">
        <x:v>1246.471445051346</x:v>
      </x:c>
      <x:c r="O294" s="56" t="n">
        <x:v>576.994251538417</x:v>
      </x:c>
      <x:c r="P294" s="56" t="n">
        <x:v>0</x:v>
      </x:c>
      <x:c r="Q294" s="56" t="n">
        <x:v>12125.721531615523</x:v>
      </x:c>
      <x:c r="R294" s="68" t="n">
        <x:f>IFERROR(K294/I294,0)</x:f>
        <x:v>0.6078431372549019</x:v>
      </x:c>
      <x:c r="S294" s="60" t="n">
        <x:f>K294*L294</x:f>
        <x:v>115078.34251562334</x:v>
      </x:c>
      <x:c r="T294" s="60" t="n">
        <x:f>S294*H294</x:f>
        <x:v>21267.545342116056</x:v>
      </x:c>
      <x:c r="U294" s="60" t="n">
        <x:f>K294*G294</x:f>
        <x:v>45158.43682492218</x:v>
      </x:c>
      <x:c r="V294" s="60" t="n">
        <x:f>S294-T294-M294-N294-O294-P294-Q294-U294</x:f>
        <x:v>30307.003357043468</x:v>
      </x:c>
      <x:c r="W294" s="68" t="n">
        <x:f>IFERROR(V294/S294,0)</x:f>
        <x:v>0.26335974862454165</x:v>
      </x:c>
      <x:c r="X294" s="72" t="n">
        <x:f>IFERROR(S294/Q294,0)</x:f>
        <x:v>9.490432566472712</x:v>
      </x:c>
      <x:c r="Y294" s="30" t="str">
        <x:v>Моделируемые данные Unitmetra</x:v>
      </x:c>
    </x:row>
    <x:row r="295">
      <x:c r="A295" s="48" t="str">
        <x:v>2026-02</x:v>
      </x:c>
      <x:c r="B295" s="48" t="str">
        <x:v>UM-049</x:v>
      </x:c>
      <x:c r="C295" s="48" t="str">
        <x:v>Бомбер</x:v>
      </x:c>
      <x:c r="D295" s="48" t="str">
        <x:v>Верхняя одежда</x:v>
      </x:c>
      <x:c r="E295" s="56" t="n">
        <x:v>5200</x:v>
      </x:c>
      <x:c r="F295" s="64" t="n">
        <x:v>0.26611450052342833</x:v>
      </x:c>
      <x:c r="G295" s="56" t="n">
        <x:v>1456.7237685458767</x:v>
      </x:c>
      <x:c r="H295" s="64" t="n">
        <x:v>0.18480927755132306</x:v>
      </x:c>
      <x:c r="I295" s="56" t="n">
        <x:v>36</x:v>
      </x:c>
      <x:c r="J295" s="56" t="n">
        <x:v>13</x:v>
      </x:c>
      <x:c r="K295" s="56" t="n">
        <x:v>23</x:v>
      </x:c>
      <x:c r="L295" s="56" t="n">
        <x:v>3816.2045972781725</x:v>
      </x:c>
      <x:c r="M295" s="56" t="n">
        <x:v>3850.767793286114</x:v>
      </x:c>
      <x:c r="N295" s="56" t="n">
        <x:v>738.3964254882858</x:v>
      </x:c>
      <x:c r="O295" s="56" t="n">
        <x:v>1044.8051711884918</x:v>
      </x:c>
      <x:c r="P295" s="56" t="n">
        <x:v>0</x:v>
      </x:c>
      <x:c r="Q295" s="56" t="n">
        <x:v>7007.359916255609</x:v>
      </x:c>
      <x:c r="R295" s="68" t="n">
        <x:f>IFERROR(K295/I295,0)</x:f>
        <x:v>0.6388888888888888</x:v>
      </x:c>
      <x:c r="S295" s="60" t="n">
        <x:f>K295*L295</x:f>
        <x:v>87772.70573739796</x:v>
      </x:c>
      <x:c r="T295" s="60" t="n">
        <x:f>S295*H295</x:f>
        <x:v>16221.210336053386</x:v>
      </x:c>
      <x:c r="U295" s="60" t="n">
        <x:f>K295*G295</x:f>
        <x:v>33504.64667655517</x:v>
      </x:c>
      <x:c r="V295" s="60" t="n">
        <x:f>S295-T295-M295-N295-O295-P295-Q295-U295</x:f>
        <x:v>25405.51941857092</x:v>
      </x:c>
      <x:c r="W295" s="68" t="n">
        <x:f>IFERROR(V295/S295,0)</x:f>
        <x:v>0.28944669308224596</x:v>
      </x:c>
      <x:c r="X295" s="72" t="n">
        <x:f>IFERROR(S295/Q295,0)</x:f>
        <x:v>12.525788140806588</x:v>
      </x:c>
      <x:c r="Y295" s="30" t="str">
        <x:v>Моделируемые данные Unitmetra</x:v>
      </x:c>
    </x:row>
    <x:row r="296">
      <x:c r="A296" s="48" t="str">
        <x:v>2025-09</x:v>
      </x:c>
      <x:c r="B296" s="48" t="str">
        <x:v>UM-050</x:v>
      </x:c>
      <x:c r="C296" s="48" t="str">
        <x:v>Куртка-рубашка</x:v>
      </x:c>
      <x:c r="D296" s="48" t="str">
        <x:v>Верхняя одежда</x:v>
      </x:c>
      <x:c r="E296" s="56" t="n">
        <x:v>6200</x:v>
      </x:c>
      <x:c r="F296" s="64" t="n">
        <x:v>0.26521985674072757</x:v>
      </x:c>
      <x:c r="G296" s="56" t="n">
        <x:v>2145.8327846697416</x:v>
      </x:c>
      <x:c r="H296" s="64" t="n">
        <x:v>0.18886841738437155</x:v>
      </x:c>
      <x:c r="I296" s="56" t="n">
        <x:v>47</x:v>
      </x:c>
      <x:c r="J296" s="56" t="n">
        <x:v>11</x:v>
      </x:c>
      <x:c r="K296" s="56" t="n">
        <x:v>36</x:v>
      </x:c>
      <x:c r="L296" s="56" t="n">
        <x:v>4555.636888207489</x:v>
      </x:c>
      <x:c r="M296" s="56" t="n">
        <x:v>4150.357883536569</x:v>
      </x:c>
      <x:c r="N296" s="56" t="n">
        <x:v>790.8347293830861</x:v>
      </x:c>
      <x:c r="O296" s="56" t="n">
        <x:v>1162.4028918191748</x:v>
      </x:c>
      <x:c r="P296" s="56" t="n">
        <x:v>0</x:v>
      </x:c>
      <x:c r="Q296" s="56" t="n">
        <x:v>5978.118617903023</x:v>
      </x:c>
      <x:c r="R296" s="68" t="n">
        <x:f>IFERROR(K296/I296,0)</x:f>
        <x:v>0.7659574468085106</x:v>
      </x:c>
      <x:c r="S296" s="60" t="n">
        <x:f>K296*L296</x:f>
        <x:v>164002.92797546962</x:v>
      </x:c>
      <x:c r="T296" s="60" t="n">
        <x:f>S296*H296</x:f>
        <x:v>30974.97345313002</x:v>
      </x:c>
      <x:c r="U296" s="60" t="n">
        <x:f>K296*G296</x:f>
        <x:v>77249.9802481107</x:v>
      </x:c>
      <x:c r="V296" s="60" t="n">
        <x:f>S296-T296-M296-N296-O296-P296-Q296-U296</x:f>
        <x:v>43696.26015158705</x:v>
      </x:c>
      <x:c r="W296" s="68" t="n">
        <x:f>IFERROR(V296/S296,0)</x:f>
        <x:v>0.2664358538655043</x:v>
      </x:c>
      <x:c r="X296" s="72" t="n">
        <x:f>IFERROR(S296/Q296,0)</x:f>
        <x:v>27.43386982725977</x:v>
      </x:c>
      <x:c r="Y296" s="30" t="str">
        <x:v>Моделируемые данные Unitmetra</x:v>
      </x:c>
    </x:row>
    <x:row r="297">
      <x:c r="A297" s="48" t="str">
        <x:v>2025-10</x:v>
      </x:c>
      <x:c r="B297" s="48" t="str">
        <x:v>UM-050</x:v>
      </x:c>
      <x:c r="C297" s="48" t="str">
        <x:v>Куртка-рубашка</x:v>
      </x:c>
      <x:c r="D297" s="48" t="str">
        <x:v>Верхняя одежда</x:v>
      </x:c>
      <x:c r="E297" s="56" t="n">
        <x:v>6200</x:v>
      </x:c>
      <x:c r="F297" s="64" t="n">
        <x:v>0.27521985674072746</x:v>
      </x:c>
      <x:c r="G297" s="56" t="n">
        <x:v>2145.8327846697416</x:v>
      </x:c>
      <x:c r="H297" s="64" t="n">
        <x:v>0.18886841738437155</x:v>
      </x:c>
      <x:c r="I297" s="56" t="n">
        <x:v>73</x:v>
      </x:c>
      <x:c r="J297" s="56" t="n">
        <x:v>17</x:v>
      </x:c>
      <x:c r="K297" s="56" t="n">
        <x:v>56</x:v>
      </x:c>
      <x:c r="L297" s="56" t="n">
        <x:v>4493.636888207489</x:v>
      </x:c>
      <x:c r="M297" s="56" t="n">
        <x:v>5872.66531901368</x:v>
      </x:c>
      <x:c r="N297" s="56" t="n">
        <x:v>1438.179217937732</x:v>
      </x:c>
      <x:c r="O297" s="56" t="n">
        <x:v>985.9035214731454</x:v>
      </x:c>
      <x:c r="P297" s="56" t="n">
        <x:v>0</x:v>
      </x:c>
      <x:c r="Q297" s="56" t="n">
        <x:v>6031.954382025248</x:v>
      </x:c>
      <x:c r="R297" s="68" t="n">
        <x:f>IFERROR(K297/I297,0)</x:f>
        <x:v>0.7671232876712328</x:v>
      </x:c>
      <x:c r="S297" s="60" t="n">
        <x:f>K297*L297</x:f>
        <x:v>251643.6657396194</x:v>
      </x:c>
      <x:c r="T297" s="60" t="n">
        <x:f>S297*H297</x:f>
        <x:v>47527.54089304372</x:v>
      </x:c>
      <x:c r="U297" s="60" t="n">
        <x:f>K297*G297</x:f>
        <x:v>120166.63594150553</x:v>
      </x:c>
      <x:c r="V297" s="60" t="n">
        <x:f>S297-T297-M297-N297-O297-P297-Q297-U297</x:f>
        <x:v>69620.78646462037</x:v>
      </x:c>
      <x:c r="W297" s="68" t="n">
        <x:f>IFERROR(V297/S297,0)</x:f>
        <x:v>0.27666417217375283</x:v>
      </x:c>
      <x:c r="X297" s="72" t="n">
        <x:f>IFERROR(S297/Q297,0)</x:f>
        <x:v>41.71842984912118</x:v>
      </x:c>
      <x:c r="Y297" s="30" t="str">
        <x:v>Моделируемые данные Unitmetra</x:v>
      </x:c>
    </x:row>
    <x:row r="298">
      <x:c r="A298" s="48" t="str">
        <x:v>2025-11</x:v>
      </x:c>
      <x:c r="B298" s="48" t="str">
        <x:v>UM-050</x:v>
      </x:c>
      <x:c r="C298" s="48" t="str">
        <x:v>Куртка-рубашка</x:v>
      </x:c>
      <x:c r="D298" s="48" t="str">
        <x:v>Верхняя одежда</x:v>
      </x:c>
      <x:c r="E298" s="56" t="n">
        <x:v>6200</x:v>
      </x:c>
      <x:c r="F298" s="64" t="n">
        <x:v>0.3052198567407277</x:v>
      </x:c>
      <x:c r="G298" s="56" t="n">
        <x:v>2145.8327846697416</x:v>
      </x:c>
      <x:c r="H298" s="64" t="n">
        <x:v>0.18886841738437155</x:v>
      </x:c>
      <x:c r="I298" s="56" t="n">
        <x:v>109</x:v>
      </x:c>
      <x:c r="J298" s="56" t="n">
        <x:v>32</x:v>
      </x:c>
      <x:c r="K298" s="56" t="n">
        <x:v>77</x:v>
      </x:c>
      <x:c r="L298" s="56" t="n">
        <x:v>4307.6368882074885</x:v>
      </x:c>
      <x:c r="M298" s="56" t="n">
        <x:v>12200.809543632995</x:v>
      </x:c>
      <x:c r="N298" s="56" t="n">
        <x:v>2679.385671694806</x:v>
      </x:c>
      <x:c r="O298" s="56" t="n">
        <x:v>873.5174723370768</x:v>
      </x:c>
      <x:c r="P298" s="56" t="n">
        <x:v>49.22943103636259</x:v>
      </x:c>
      <x:c r="Q298" s="56" t="n">
        <x:v>11891.918272368901</x:v>
      </x:c>
      <x:c r="R298" s="68" t="n">
        <x:f>IFERROR(K298/I298,0)</x:f>
        <x:v>0.7064220183486238</x:v>
      </x:c>
      <x:c r="S298" s="60" t="n">
        <x:f>K298*L298</x:f>
        <x:v>331688.0403919766</x:v>
      </x:c>
      <x:c r="T298" s="60" t="n">
        <x:f>S298*H298</x:f>
        <x:v>62645.39525415612</x:v>
      </x:c>
      <x:c r="U298" s="60" t="n">
        <x:f>K298*G298</x:f>
        <x:v>165229.12441957011</x:v>
      </x:c>
      <x:c r="V298" s="60" t="n">
        <x:f>S298-T298-M298-N298-O298-P298-Q298-U298</x:f>
        <x:v>76118.6603271802</x:v>
      </x:c>
      <x:c r="W298" s="68" t="n">
        <x:f>IFERROR(V298/S298,0)</x:f>
        <x:v>0.22948870944284272</x:v>
      </x:c>
      <x:c r="X298" s="72" t="n">
        <x:f>IFERROR(S298/Q298,0)</x:f>
        <x:v>27.891886976944676</x:v>
      </x:c>
      <x:c r="Y298" s="30" t="str">
        <x:v>Моделируемые данные Unitmetra</x:v>
      </x:c>
    </x:row>
    <x:row r="299">
      <x:c r="A299" s="48" t="str">
        <x:v>2025-12</x:v>
      </x:c>
      <x:c r="B299" s="48" t="str">
        <x:v>UM-050</x:v>
      </x:c>
      <x:c r="C299" s="48" t="str">
        <x:v>Куртка-рубашка</x:v>
      </x:c>
      <x:c r="D299" s="48" t="str">
        <x:v>Верхняя одежда</x:v>
      </x:c>
      <x:c r="E299" s="56" t="n">
        <x:v>6200</x:v>
      </x:c>
      <x:c r="F299" s="64" t="n">
        <x:v>0.3252198567407275</x:v>
      </x:c>
      <x:c r="G299" s="56" t="n">
        <x:v>2145.8327846697416</x:v>
      </x:c>
      <x:c r="H299" s="64" t="n">
        <x:v>0.18886841738437155</x:v>
      </x:c>
      <x:c r="I299" s="56" t="n">
        <x:v>93</x:v>
      </x:c>
      <x:c r="J299" s="56" t="n">
        <x:v>29</x:v>
      </x:c>
      <x:c r="K299" s="56" t="n">
        <x:v>64</x:v>
      </x:c>
      <x:c r="L299" s="56" t="n">
        <x:v>4183.636888207489</x:v>
      </x:c>
      <x:c r="M299" s="56" t="n">
        <x:v>7483.929808025897</x:v>
      </x:c>
      <x:c r="N299" s="56" t="n">
        <x:v>1810.7138827449696</x:v>
      </x:c>
      <x:c r="O299" s="56" t="n">
        <x:v>1779.4638883290334</x:v>
      </x:c>
      <x:c r="P299" s="56" t="n">
        <x:v>192.11463281122445</x:v>
      </x:c>
      <x:c r="Q299" s="56" t="n">
        <x:v>8066.303861153217</x:v>
      </x:c>
      <x:c r="R299" s="68" t="n">
        <x:f>IFERROR(K299/I299,0)</x:f>
        <x:v>0.6881720430107527</x:v>
      </x:c>
      <x:c r="S299" s="60" t="n">
        <x:f>K299*L299</x:f>
        <x:v>267752.7608452793</x:v>
      </x:c>
      <x:c r="T299" s="60" t="n">
        <x:f>S299*H299</x:f>
        <x:v>50570.04019114403</x:v>
      </x:c>
      <x:c r="U299" s="60" t="n">
        <x:f>K299*G299</x:f>
        <x:v>137333.29821886346</x:v>
      </x:c>
      <x:c r="V299" s="60" t="n">
        <x:f>S299-T299-M299-N299-O299-P299-Q299-U299</x:f>
        <x:v>60516.89636220745</x:v>
      </x:c>
      <x:c r="W299" s="68" t="n">
        <x:f>IFERROR(V299/S299,0)</x:f>
        <x:v>0.2260178239475823</x:v>
      </x:c>
      <x:c r="X299" s="72" t="n">
        <x:f>IFERROR(S299/Q299,0)</x:f>
        <x:v>33.1939839428513</x:v>
      </x:c>
      <x:c r="Y299" s="30" t="str">
        <x:v>Моделируемые данные Unitmetra</x:v>
      </x:c>
    </x:row>
    <x:row r="300">
      <x:c r="A300" s="48" t="str">
        <x:v>2026-01</x:v>
      </x:c>
      <x:c r="B300" s="48" t="str">
        <x:v>UM-050</x:v>
      </x:c>
      <x:c r="C300" s="48" t="str">
        <x:v>Куртка-рубашка</x:v>
      </x:c>
      <x:c r="D300" s="48" t="str">
        <x:v>Верхняя одежда</x:v>
      </x:c>
      <x:c r="E300" s="56" t="n">
        <x:v>6200</x:v>
      </x:c>
      <x:c r="F300" s="64" t="n">
        <x:v>0.2952198567407277</x:v>
      </x:c>
      <x:c r="G300" s="56" t="n">
        <x:v>2145.8327846697416</x:v>
      </x:c>
      <x:c r="H300" s="64" t="n">
        <x:v>0.18886841738437155</x:v>
      </x:c>
      <x:c r="I300" s="56" t="n">
        <x:v>55</x:v>
      </x:c>
      <x:c r="J300" s="56" t="n">
        <x:v>16</x:v>
      </x:c>
      <x:c r="K300" s="56" t="n">
        <x:v>39</x:v>
      </x:c>
      <x:c r="L300" s="56" t="n">
        <x:v>4369.6368882074885</x:v>
      </x:c>
      <x:c r="M300" s="56" t="n">
        <x:v>5023.624210535387</x:v>
      </x:c>
      <x:c r="N300" s="56" t="n">
        <x:v>1155.4457449718068</x:v>
      </x:c>
      <x:c r="O300" s="56" t="n">
        <x:v>1124.8627393275565</x:v>
      </x:c>
      <x:c r="P300" s="56" t="n">
        <x:v>218.23865106740297</x:v>
      </x:c>
      <x:c r="Q300" s="56" t="n">
        <x:v>7679.105667862393</x:v>
      </x:c>
      <x:c r="R300" s="68" t="n">
        <x:f>IFERROR(K300/I300,0)</x:f>
        <x:v>0.7090909090909091</x:v>
      </x:c>
      <x:c r="S300" s="60" t="n">
        <x:f>K300*L300</x:f>
        <x:v>170415.83864009206</x:v>
      </x:c>
      <x:c r="T300" s="60" t="n">
        <x:f>S300*H300</x:f>
        <x:v>32186.169741184618</x:v>
      </x:c>
      <x:c r="U300" s="60" t="n">
        <x:f>K300*G300</x:f>
        <x:v>83687.47860211993</x:v>
      </x:c>
      <x:c r="V300" s="60" t="n">
        <x:f>S300-T300-M300-N300-O300-P300-Q300-U300</x:f>
        <x:v>39340.913283022994</x:v>
      </x:c>
      <x:c r="W300" s="68" t="n">
        <x:f>IFERROR(V300/S300,0)</x:f>
        <x:v>0.23085244656225073</x:v>
      </x:c>
      <x:c r="X300" s="72" t="n">
        <x:f>IFERROR(S300/Q300,0)</x:f>
        <x:v>22.192146587237957</x:v>
      </x:c>
      <x:c r="Y300" s="30" t="str">
        <x:v>Моделируемые данные Unitmetra</x:v>
      </x:c>
    </x:row>
    <x:row r="301">
      <x:c r="A301" s="49" t="str">
        <x:v>2026-02</x:v>
      </x:c>
      <x:c r="B301" s="49" t="str">
        <x:v>UM-050</x:v>
      </x:c>
      <x:c r="C301" s="49" t="str">
        <x:v>Куртка-рубашка</x:v>
      </x:c>
      <x:c r="D301" s="49" t="str">
        <x:v>Верхняя одежда</x:v>
      </x:c>
      <x:c r="E301" s="57" t="n">
        <x:v>6200</x:v>
      </x:c>
      <x:c r="F301" s="65" t="n">
        <x:v>0.27521985674072746</x:v>
      </x:c>
      <x:c r="G301" s="57" t="n">
        <x:v>2145.8327846697416</x:v>
      </x:c>
      <x:c r="H301" s="65" t="n">
        <x:v>0.18886841738437155</x:v>
      </x:c>
      <x:c r="I301" s="57" t="n">
        <x:v>40</x:v>
      </x:c>
      <x:c r="J301" s="57" t="n">
        <x:v>12</x:v>
      </x:c>
      <x:c r="K301" s="57" t="n">
        <x:v>28</x:v>
      </x:c>
      <x:c r="L301" s="57" t="n">
        <x:v>4493.636888207489</x:v>
      </x:c>
      <x:c r="M301" s="57" t="n">
        <x:v>4336.001505956073</x:v>
      </x:c>
      <x:c r="N301" s="57" t="n">
        <x:v>917.8071387574216</x:v>
      </x:c>
      <x:c r="O301" s="57" t="n">
        <x:v>945.227218233789</x:v>
      </x:c>
      <x:c r="P301" s="57" t="n">
        <x:v>298.5587024998408</x:v>
      </x:c>
      <x:c r="Q301" s="57" t="n">
        <x:v>4511.959300541635</x:v>
      </x:c>
      <x:c r="R301" s="69" t="n">
        <x:f>IFERROR(K301/I301,0)</x:f>
        <x:v>0.7</x:v>
      </x:c>
      <x:c r="S301" s="61" t="n">
        <x:f>K301*L301</x:f>
        <x:v>125821.8328698097</x:v>
      </x:c>
      <x:c r="T301" s="61" t="n">
        <x:f>S301*H301</x:f>
        <x:v>23763.77044652186</x:v>
      </x:c>
      <x:c r="U301" s="61" t="n">
        <x:f>K301*G301</x:f>
        <x:v>60083.31797075277</x:v>
      </x:c>
      <x:c r="V301" s="61" t="n">
        <x:f>S301-T301-M301-N301-O301-P301-Q301-U301</x:f>
        <x:v>30965.190586546327</x:v>
      </x:c>
      <x:c r="W301" s="69" t="n">
        <x:f>IFERROR(V301/S301,0)</x:f>
        <x:v>0.24610347727636914</x:v>
      </x:c>
      <x:c r="X301" s="73" t="n">
        <x:f>IFERROR(S301/Q301,0)</x:f>
        <x:v>27.88629606093865</x:v>
      </x:c>
      <x:c r="Y301" s="31" t="str">
        <x:v>Моделируемые данные Unitmetra</x:v>
      </x:c>
    </x:row>
  </x:sheetData>
  <x:conditionalFormatting sqref="V2:V301">
    <x:cfRule type="expression" dxfId="0" priority="1">
      <x:formula>V2&lt;0</x:formula>
    </x:cfRule>
  </x:conditionalFormatting>
  <x:conditionalFormatting sqref="W2:W301">
    <x:cfRule type="colorScale" priority="2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ef0bbb4ceae9410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20" hidden="0" customWidth="1"/>
    <x:col min="4" max="4" width="12" hidden="0" customWidth="1"/>
    <x:col min="5" max="5" width="13" hidden="0" customWidth="1"/>
    <x:col min="6" max="6" width="12" hidden="0" customWidth="1"/>
    <x:col min="7" max="7" width="11" hidden="0" customWidth="1"/>
    <x:col min="8" max="8" width="15" hidden="0" customWidth="1"/>
    <x:col min="9" max="9" width="14" hidden="0" customWidth="1"/>
    <x:col min="10" max="10" width="10" hidden="0" customWidth="1"/>
    <x:col min="11" max="11" width="15" hidden="0" customWidth="1"/>
    <x:col min="12" max="12" width="21" hidden="0" customWidth="1"/>
    <x:col min="13" max="13" width="14" hidden="0" customWidth="1"/>
    <x:col min="14" max="14" width="12" hidden="0" customWidth="1"/>
    <x:col min="15" max="15" width="18" hidden="0" customWidth="1"/>
    <x:col min="16" max="16" width="18" hidden="0" customWidth="1"/>
    <x:col min="17" max="17" width="12" hidden="0" customWidth="1"/>
    <x:col min="18" max="18" width="16" hidden="0" customWidth="1"/>
  </x:cols>
  <x:sheetData>
    <x:row r="1" ht="28" customHeight="1">
      <x:c r="A1" s="17" t="str">
        <x:v>SKU</x:v>
      </x:c>
      <x:c r="B1" s="43" t="str">
        <x:v>Товар</x:v>
      </x:c>
      <x:c r="C1" s="43" t="str">
        <x:v>Категория</x:v>
      </x:c>
      <x:c r="D1" s="43" t="str">
        <x:v>Заказы, ед.</x:v>
      </x:c>
      <x:c r="E1" s="43" t="str">
        <x:v>Возвраты, ед.</x:v>
      </x:c>
      <x:c r="F1" s="43" t="str">
        <x:v>Выкупы, ед.</x:v>
      </x:c>
      <x:c r="G1" s="43" t="str">
        <x:v>Выкуп, %</x:v>
      </x:c>
      <x:c r="H1" s="43" t="str">
        <x:v>Выручка, ₽</x:v>
      </x:c>
      <x:c r="I1" s="43" t="str">
        <x:v>Реклама, ₽</x:v>
      </x:c>
      <x:c r="J1" s="43" t="str">
        <x:v>ROAS</x:v>
      </x:c>
      <x:c r="K1" s="43" t="str">
        <x:v>Логистика, ₽</x:v>
      </x:c>
      <x:c r="L1" s="43" t="str">
        <x:v>Обратная логистика, ₽</x:v>
      </x:c>
      <x:c r="M1" s="43" t="str">
        <x:v>Хранение, ₽</x:v>
      </x:c>
      <x:c r="N1" s="43" t="str">
        <x:v>Штрафы, ₽</x:v>
      </x:c>
      <x:c r="O1" s="43" t="str">
        <x:v>Себестоимость, ₽</x:v>
      </x:c>
      <x:c r="P1" s="43" t="str">
        <x:v>Чистая прибыль, ₽</x:v>
      </x:c>
      <x:c r="Q1" s="43" t="str">
        <x:v>Маржа, %</x:v>
      </x:c>
      <x:c r="R1" s="18" t="str">
        <x:v>Статус</x:v>
      </x:c>
    </x:row>
    <x:row r="2">
      <x:c r="A2" s="48" t="str">
        <x:v>UM-001</x:v>
      </x:c>
      <x:c r="B2" s="48" t="str">
        <x:v>Миди с поясом</x:v>
      </x:c>
      <x:c r="C2" s="48" t="str">
        <x:v>Платья</x:v>
      </x:c>
      <x:c r="D2" s="80" t="n">
        <x:f>SUMIF('Данные_месяцы'!$B$2:$B$301,A2,'Данные_месяцы'!$I$2:$I$301)</x:f>
        <x:v>273</x:v>
      </x:c>
      <x:c r="E2" s="80" t="n">
        <x:f>SUMIF('Данные_месяцы'!$B$2:$B$301,A2,'Данные_месяцы'!$J$2:$J$301)</x:f>
        <x:v>164</x:v>
      </x:c>
      <x:c r="F2" s="80" t="n">
        <x:f>SUMIF('Данные_месяцы'!$B$2:$B$301,A2,'Данные_месяцы'!$K$2:$K$301)</x:f>
        <x:v>109</x:v>
      </x:c>
      <x:c r="G2" s="84" t="n">
        <x:f>IFERROR(F2/D2,0)</x:f>
        <x:v>0.3992673992673993</x:v>
      </x:c>
      <x:c r="H2" s="80" t="n">
        <x:f>SUMIF('Данные_месяцы'!$B$2:$B$301,A2,'Данные_месяцы'!$S$2:$S$301)</x:f>
        <x:v>448772.1840579107</x:v>
      </x:c>
      <x:c r="I2" s="80" t="n">
        <x:f>SUMIF('Данные_месяцы'!$B$2:$B$301,A2,'Данные_месяцы'!$Q$2:$Q$301)</x:f>
        <x:v>133766.65710176868</x:v>
      </x:c>
      <x:c r="J2" s="88" t="n">
        <x:f>IFERROR(H2/I2,0)</x:f>
        <x:v>3.3548882343414483</x:v>
      </x:c>
      <x:c r="K2" s="80" t="n">
        <x:f>SUMIF('Данные_месяцы'!$B$2:$B$301,A2,'Данные_месяцы'!$M$2:$M$301)</x:f>
        <x:v>27571.520219283517</x:v>
      </x:c>
      <x:c r="L2" s="80" t="n">
        <x:f>SUMIF('Данные_месяцы'!$B$2:$B$301,A2,'Данные_месяцы'!$N$2:$N$301)</x:f>
        <x:v>10839.434864927065</x:v>
      </x:c>
      <x:c r="M2" s="80" t="n">
        <x:f>SUMIF('Данные_месяцы'!$B$2:$B$301,A2,'Данные_месяцы'!$O$2:$O$301)</x:f>
        <x:v>4859.415065257761</x:v>
      </x:c>
      <x:c r="N2" s="80" t="n">
        <x:f>SUMIF('Данные_месяцы'!$B$2:$B$301,A2,'Данные_месяцы'!$P$2:$P$301)</x:f>
        <x:v>8.092142068393352</x:v>
      </x:c>
      <x:c r="O2" s="80" t="n">
        <x:f>SUMIF('Данные_месяцы'!$B$2:$B$301,A2,'Данные_месяцы'!$U$2:$U$301)</x:f>
        <x:v>253665.01164513075</x:v>
      </x:c>
      <x:c r="P2" s="80" t="n">
        <x:f>SUMIF('Данные_месяцы'!$B$2:$B$301,A2,'Данные_месяцы'!$V$2:$V$301)</x:f>
        <x:v>-64196.18620446068</x:v>
      </x:c>
      <x:c r="Q2" s="84" t="n">
        <x:f>IFERROR(P2/H2,0)</x:f>
        <x:v>-0.14304849650881357</x:v>
      </x:c>
      <x:c r="R2" s="76" t="str">
        <x:f>IF(P2&lt;0,"Убыточный",IF(Q2&lt;0.1,"Низкая маржа","Прибыльный"))</x:f>
        <x:v>Убыточный</x:v>
      </x:c>
    </x:row>
    <x:row r="3">
      <x:c r="A3" s="48" t="str">
        <x:v>UM-002</x:v>
      </x:c>
      <x:c r="B3" s="48" t="str">
        <x:v>Трикотажное миди</x:v>
      </x:c>
      <x:c r="C3" s="48" t="str">
        <x:v>Платья</x:v>
      </x:c>
      <x:c r="D3" s="80" t="n">
        <x:f>SUMIF('Данные_месяцы'!$B$2:$B$301,A3,'Данные_месяцы'!$I$2:$I$301)</x:f>
        <x:v>214</x:v>
      </x:c>
      <x:c r="E3" s="80" t="n">
        <x:f>SUMIF('Данные_месяцы'!$B$2:$B$301,A3,'Данные_месяцы'!$J$2:$J$301)</x:f>
        <x:v>101</x:v>
      </x:c>
      <x:c r="F3" s="80" t="n">
        <x:f>SUMIF('Данные_месяцы'!$B$2:$B$301,A3,'Данные_месяцы'!$K$2:$K$301)</x:f>
        <x:v>113</x:v>
      </x:c>
      <x:c r="G3" s="84" t="n">
        <x:f>IFERROR(F3/D3,0)</x:f>
        <x:v>0.5280373831775701</x:v>
      </x:c>
      <x:c r="H3" s="80" t="n">
        <x:f>SUMIF('Данные_месяцы'!$B$2:$B$301,A3,'Данные_месяцы'!$S$2:$S$301)</x:f>
        <x:v>493688.0098146211</x:v>
      </x:c>
      <x:c r="I3" s="80" t="n">
        <x:f>SUMIF('Данные_месяцы'!$B$2:$B$301,A3,'Данные_месяцы'!$Q$2:$Q$301)</x:f>
        <x:v>45254.4241686051</x:v>
      </x:c>
      <x:c r="J3" s="88" t="n">
        <x:f>IFERROR(H3/I3,0)</x:f>
        <x:v>10.909165653622729</x:v>
      </x:c>
      <x:c r="K3" s="80" t="n">
        <x:f>SUMIF('Данные_месяцы'!$B$2:$B$301,A3,'Данные_месяцы'!$M$2:$M$301)</x:f>
        <x:v>22942.302345571403</x:v>
      </x:c>
      <x:c r="L3" s="80" t="n">
        <x:f>SUMIF('Данные_месяцы'!$B$2:$B$301,A3,'Данные_месяцы'!$N$2:$N$301)</x:f>
        <x:v>6820.268676122507</x:v>
      </x:c>
      <x:c r="M3" s="80" t="n">
        <x:f>SUMIF('Данные_месяцы'!$B$2:$B$301,A3,'Данные_месяцы'!$O$2:$O$301)</x:f>
        <x:v>2903.9943163822313</x:v>
      </x:c>
      <x:c r="N3" s="80" t="n">
        <x:f>SUMIF('Данные_месяцы'!$B$2:$B$301,A3,'Данные_месяцы'!$P$2:$P$301)</x:f>
        <x:v>0</x:v>
      </x:c>
      <x:c r="O3" s="80" t="n">
        <x:f>SUMIF('Данные_месяцы'!$B$2:$B$301,A3,'Данные_месяцы'!$U$2:$U$301)</x:f>
        <x:v>197733.05991646505</x:v>
      </x:c>
      <x:c r="P3" s="80" t="n">
        <x:f>SUMIF('Данные_месяцы'!$B$2:$B$301,A3,'Данные_месяцы'!$V$2:$V$301)</x:f>
        <x:v>113156.47192297429</x:v>
      </x:c>
      <x:c r="Q3" s="84" t="n">
        <x:f>IFERROR(P3/H3,0)</x:f>
        <x:v>0.22920644146383934</x:v>
      </x:c>
      <x:c r="R3" s="76" t="str">
        <x:f>IF(P3&lt;0,"Убыточный",IF(Q3&lt;0.1,"Низкая маржа","Прибыльный"))</x:f>
        <x:v>Прибыльный</x:v>
      </x:c>
    </x:row>
    <x:row r="4">
      <x:c r="A4" s="48" t="str">
        <x:v>UM-003</x:v>
      </x:c>
      <x:c r="B4" s="48" t="str">
        <x:v>Платье-комбинация</x:v>
      </x:c>
      <x:c r="C4" s="48" t="str">
        <x:v>Платья</x:v>
      </x:c>
      <x:c r="D4" s="80" t="n">
        <x:f>SUMIF('Данные_месяцы'!$B$2:$B$301,A4,'Данные_месяцы'!$I$2:$I$301)</x:f>
        <x:v>145</x:v>
      </x:c>
      <x:c r="E4" s="80" t="n">
        <x:f>SUMIF('Данные_месяцы'!$B$2:$B$301,A4,'Данные_месяцы'!$J$2:$J$301)</x:f>
        <x:v>70</x:v>
      </x:c>
      <x:c r="F4" s="80" t="n">
        <x:f>SUMIF('Данные_месяцы'!$B$2:$B$301,A4,'Данные_месяцы'!$K$2:$K$301)</x:f>
        <x:v>75</x:v>
      </x:c>
      <x:c r="G4" s="84" t="n">
        <x:f>IFERROR(F4/D4,0)</x:f>
        <x:v>0.5172413793103449</x:v>
      </x:c>
      <x:c r="H4" s="80" t="n">
        <x:f>SUMIF('Данные_месяцы'!$B$2:$B$301,A4,'Данные_месяцы'!$S$2:$S$301)</x:f>
        <x:v>243716.854888189</x:v>
      </x:c>
      <x:c r="I4" s="80" t="n">
        <x:f>SUMIF('Данные_месяцы'!$B$2:$B$301,A4,'Данные_месяцы'!$Q$2:$Q$301)</x:f>
        <x:v>21992.52452483079</x:v>
      </x:c>
      <x:c r="J4" s="88" t="n">
        <x:f>IFERROR(H4/I4,0)</x:f>
        <x:v>11.081804392807157</x:v>
      </x:c>
      <x:c r="K4" s="80" t="n">
        <x:f>SUMIF('Данные_месяцы'!$B$2:$B$301,A4,'Данные_месяцы'!$M$2:$M$301)</x:f>
        <x:v>13381.963631990393</x:v>
      </x:c>
      <x:c r="L4" s="80" t="n">
        <x:f>SUMIF('Данные_месяцы'!$B$2:$B$301,A4,'Данные_месяцы'!$N$2:$N$301)</x:f>
        <x:v>4922.501380970896</x:v>
      </x:c>
      <x:c r="M4" s="80" t="n">
        <x:f>SUMIF('Данные_месяцы'!$B$2:$B$301,A4,'Данные_месяцы'!$O$2:$O$301)</x:f>
        <x:v>2447.830803388463</x:v>
      </x:c>
      <x:c r="N4" s="80" t="n">
        <x:f>SUMIF('Данные_месяцы'!$B$2:$B$301,A4,'Данные_месяцы'!$P$2:$P$301)</x:f>
        <x:v>0</x:v>
      </x:c>
      <x:c r="O4" s="80" t="n">
        <x:f>SUMIF('Данные_месяцы'!$B$2:$B$301,A4,'Данные_месяцы'!$U$2:$U$301)</x:f>
        <x:v>103489.17864088429</x:v>
      </x:c>
      <x:c r="P4" s="80" t="n">
        <x:f>SUMIF('Данные_месяцы'!$B$2:$B$301,A4,'Данные_месяцы'!$V$2:$V$301)</x:f>
        <x:v>46554.053707659084</x:v>
      </x:c>
      <x:c r="Q4" s="84" t="n">
        <x:f>IFERROR(P4/H4,0)</x:f>
        <x:v>0.19101696404631877</x:v>
      </x:c>
      <x:c r="R4" s="76" t="str">
        <x:f>IF(P4&lt;0,"Убыточный",IF(Q4&lt;0.1,"Низкая маржа","Прибыльный"))</x:f>
        <x:v>Прибыльный</x:v>
      </x:c>
    </x:row>
    <x:row r="5">
      <x:c r="A5" s="48" t="str">
        <x:v>UM-004</x:v>
      </x:c>
      <x:c r="B5" s="48" t="str">
        <x:v>Офисное футляр</x:v>
      </x:c>
      <x:c r="C5" s="48" t="str">
        <x:v>Платья</x:v>
      </x:c>
      <x:c r="D5" s="80" t="n">
        <x:f>SUMIF('Данные_месяцы'!$B$2:$B$301,A5,'Данные_месяцы'!$I$2:$I$301)</x:f>
        <x:v>301</x:v>
      </x:c>
      <x:c r="E5" s="80" t="n">
        <x:f>SUMIF('Данные_месяцы'!$B$2:$B$301,A5,'Данные_месяцы'!$J$2:$J$301)</x:f>
        <x:v>145</x:v>
      </x:c>
      <x:c r="F5" s="80" t="n">
        <x:f>SUMIF('Данные_месяцы'!$B$2:$B$301,A5,'Данные_месяцы'!$K$2:$K$301)</x:f>
        <x:v>156</x:v>
      </x:c>
      <x:c r="G5" s="84" t="n">
        <x:f>IFERROR(F5/D5,0)</x:f>
        <x:v>0.5182724252491694</x:v>
      </x:c>
      <x:c r="H5" s="80" t="n">
        <x:f>SUMIF('Данные_месяцы'!$B$2:$B$301,A5,'Данные_месяцы'!$S$2:$S$301)</x:f>
        <x:v>399841.23378219217</x:v>
      </x:c>
      <x:c r="I5" s="80" t="n">
        <x:f>SUMIF('Данные_месяцы'!$B$2:$B$301,A5,'Данные_месяцы'!$Q$2:$Q$301)</x:f>
        <x:v>16872.468644164055</x:v>
      </x:c>
      <x:c r="J5" s="88" t="n">
        <x:f>IFERROR(H5/I5,0)</x:f>
        <x:v>23.69785016139245</x:v>
      </x:c>
      <x:c r="K5" s="80" t="n">
        <x:f>SUMIF('Данные_месяцы'!$B$2:$B$301,A5,'Данные_месяцы'!$M$2:$M$301)</x:f>
        <x:v>32733.45279988731</x:v>
      </x:c>
      <x:c r="L5" s="80" t="n">
        <x:f>SUMIF('Данные_месяцы'!$B$2:$B$301,A5,'Данные_месяцы'!$N$2:$N$301)</x:f>
        <x:v>10623.234908080183</x:v>
      </x:c>
      <x:c r="M5" s="80" t="n">
        <x:f>SUMIF('Данные_месяцы'!$B$2:$B$301,A5,'Данные_месяцы'!$O$2:$O$301)</x:f>
        <x:v>5594.122937537488</x:v>
      </x:c>
      <x:c r="N5" s="80" t="n">
        <x:f>SUMIF('Данные_месяцы'!$B$2:$B$301,A5,'Данные_месяцы'!$P$2:$P$301)</x:f>
        <x:v>428.6362732074829</x:v>
      </x:c>
      <x:c r="O5" s="80" t="n">
        <x:f>SUMIF('Данные_месяцы'!$B$2:$B$301,A5,'Данные_месяцы'!$U$2:$U$301)</x:f>
        <x:v>223589.06408637585</x:v>
      </x:c>
      <x:c r="P5" s="80" t="n">
        <x:f>SUMIF('Данные_месяцы'!$B$2:$B$301,A5,'Данные_месяцы'!$V$2:$V$301)</x:f>
        <x:v>35304.9717140196</x:v>
      </x:c>
      <x:c r="Q5" s="84" t="n">
        <x:f>IFERROR(P5/H5,0)</x:f>
        <x:v>0.0882974759257858</x:v>
      </x:c>
      <x:c r="R5" s="76" t="str">
        <x:f>IF(P5&lt;0,"Убыточный",IF(Q5&lt;0.1,"Низкая маржа","Прибыльный"))</x:f>
        <x:v>Низкая маржа</x:v>
      </x:c>
    </x:row>
    <x:row r="6">
      <x:c r="A6" s="48" t="str">
        <x:v>UM-005</x:v>
      </x:c>
      <x:c r="B6" s="48" t="str">
        <x:v>Платье-рубашка</x:v>
      </x:c>
      <x:c r="C6" s="48" t="str">
        <x:v>Платья</x:v>
      </x:c>
      <x:c r="D6" s="80" t="n">
        <x:f>SUMIF('Данные_месяцы'!$B$2:$B$301,A6,'Данные_месяцы'!$I$2:$I$301)</x:f>
        <x:v>350</x:v>
      </x:c>
      <x:c r="E6" s="80" t="n">
        <x:f>SUMIF('Данные_месяцы'!$B$2:$B$301,A6,'Данные_месяцы'!$J$2:$J$301)</x:f>
        <x:v>156</x:v>
      </x:c>
      <x:c r="F6" s="80" t="n">
        <x:f>SUMIF('Данные_месяцы'!$B$2:$B$301,A6,'Данные_месяцы'!$K$2:$K$301)</x:f>
        <x:v>194</x:v>
      </x:c>
      <x:c r="G6" s="84" t="n">
        <x:f>IFERROR(F6/D6,0)</x:f>
        <x:v>0.5542857142857143</x:v>
      </x:c>
      <x:c r="H6" s="80" t="n">
        <x:f>SUMIF('Данные_месяцы'!$B$2:$B$301,A6,'Данные_месяцы'!$S$2:$S$301)</x:f>
        <x:v>432940.297523198</x:v>
      </x:c>
      <x:c r="I6" s="80" t="n">
        <x:f>SUMIF('Данные_месяцы'!$B$2:$B$301,A6,'Данные_месяцы'!$Q$2:$Q$301)</x:f>
        <x:v>34027.74312385449</x:v>
      </x:c>
      <x:c r="J6" s="88" t="n">
        <x:f>IFERROR(H6/I6,0)</x:f>
        <x:v>12.723156394691767</x:v>
      </x:c>
      <x:c r="K6" s="80" t="n">
        <x:f>SUMIF('Данные_месяцы'!$B$2:$B$301,A6,'Данные_месяцы'!$M$2:$M$301)</x:f>
        <x:v>35874.0762903039</x:v>
      </x:c>
      <x:c r="L6" s="80" t="n">
        <x:f>SUMIF('Данные_месяцы'!$B$2:$B$301,A6,'Данные_месяцы'!$N$2:$N$301)</x:f>
        <x:v>11195.719482824974</x:v>
      </x:c>
      <x:c r="M6" s="80" t="n">
        <x:f>SUMIF('Данные_месяцы'!$B$2:$B$301,A6,'Данные_месяцы'!$O$2:$O$301)</x:f>
        <x:v>6094.759704281912</x:v>
      </x:c>
      <x:c r="N6" s="80" t="n">
        <x:f>SUMIF('Данные_месяцы'!$B$2:$B$301,A6,'Данные_месяцы'!$P$2:$P$301)</x:f>
        <x:v>41.298052322395165</x:v>
      </x:c>
      <x:c r="O6" s="80" t="n">
        <x:f>SUMIF('Данные_месяцы'!$B$2:$B$301,A6,'Данные_месяцы'!$U$2:$U$301)</x:f>
        <x:v>216125.99526755535</x:v>
      </x:c>
      <x:c r="P6" s="80" t="n">
        <x:f>SUMIF('Данные_месяцы'!$B$2:$B$301,A6,'Данные_месяцы'!$V$2:$V$301)</x:f>
        <x:v>46714.24958562666</x:v>
      </x:c>
      <x:c r="Q6" s="84" t="n">
        <x:f>IFERROR(P6/H6,0)</x:f>
        <x:v>0.10789998032724962</x:v>
      </x:c>
      <x:c r="R6" s="76" t="str">
        <x:f>IF(P6&lt;0,"Убыточный",IF(Q6&lt;0.1,"Низкая маржа","Прибыльный"))</x:f>
        <x:v>Прибыльный</x:v>
      </x:c>
    </x:row>
    <x:row r="7">
      <x:c r="A7" s="48" t="str">
        <x:v>UM-006</x:v>
      </x:c>
      <x:c r="B7" s="48" t="str">
        <x:v>Вечернее макси</x:v>
      </x:c>
      <x:c r="C7" s="48" t="str">
        <x:v>Платья</x:v>
      </x:c>
      <x:c r="D7" s="80" t="n">
        <x:f>SUMIF('Данные_месяцы'!$B$2:$B$301,A7,'Данные_месяцы'!$I$2:$I$301)</x:f>
        <x:v>177</x:v>
      </x:c>
      <x:c r="E7" s="80" t="n">
        <x:f>SUMIF('Данные_месяцы'!$B$2:$B$301,A7,'Данные_месяцы'!$J$2:$J$301)</x:f>
        <x:v>120</x:v>
      </x:c>
      <x:c r="F7" s="80" t="n">
        <x:f>SUMIF('Данные_месяцы'!$B$2:$B$301,A7,'Данные_месяцы'!$K$2:$K$301)</x:f>
        <x:v>57</x:v>
      </x:c>
      <x:c r="G7" s="84" t="n">
        <x:f>IFERROR(F7/D7,0)</x:f>
        <x:v>0.3220338983050847</x:v>
      </x:c>
      <x:c r="H7" s="80" t="n">
        <x:f>SUMIF('Данные_месяцы'!$B$2:$B$301,A7,'Данные_месяцы'!$S$2:$S$301)</x:f>
        <x:v>147856.37078828958</x:v>
      </x:c>
      <x:c r="I7" s="80" t="n">
        <x:f>SUMIF('Данные_месяцы'!$B$2:$B$301,A7,'Данные_месяцы'!$Q$2:$Q$301)</x:f>
        <x:v>32018.559513329943</x:v>
      </x:c>
      <x:c r="J7" s="88" t="n">
        <x:f>IFERROR(H7/I7,0)</x:f>
        <x:v>4.617833314041943</x:v>
      </x:c>
      <x:c r="K7" s="80" t="n">
        <x:f>SUMIF('Данные_месяцы'!$B$2:$B$301,A7,'Данные_месяцы'!$M$2:$M$301)</x:f>
        <x:v>18256.942800891688</x:v>
      </x:c>
      <x:c r="L7" s="80" t="n">
        <x:f>SUMIF('Данные_месяцы'!$B$2:$B$301,A7,'Данные_месяцы'!$N$2:$N$301)</x:f>
        <x:v>8457.662731910794</x:v>
      </x:c>
      <x:c r="M7" s="80" t="n">
        <x:f>SUMIF('Данные_месяцы'!$B$2:$B$301,A7,'Данные_месяцы'!$O$2:$O$301)</x:f>
        <x:v>2598.4633650991545</x:v>
      </x:c>
      <x:c r="N7" s="80" t="n">
        <x:f>SUMIF('Данные_месяцы'!$B$2:$B$301,A7,'Данные_месяцы'!$P$2:$P$301)</x:f>
        <x:v>0</x:v>
      </x:c>
      <x:c r="O7" s="80" t="n">
        <x:f>SUMIF('Данные_месяцы'!$B$2:$B$301,A7,'Данные_месяцы'!$U$2:$U$301)</x:f>
        <x:v>69135.81309169582</x:v>
      </x:c>
      <x:c r="P7" s="80" t="n">
        <x:f>SUMIF('Данные_месяцы'!$B$2:$B$301,A7,'Данные_месяцы'!$V$2:$V$301)</x:f>
        <x:v>-12691.486779023624</x:v>
      </x:c>
      <x:c r="Q7" s="84" t="n">
        <x:f>IFERROR(P7/H7,0)</x:f>
        <x:v>-0.08583659068161577</x:v>
      </x:c>
      <x:c r="R7" s="76" t="str">
        <x:f>IF(P7&lt;0,"Убыточный",IF(Q7&lt;0.1,"Низкая маржа","Прибыльный"))</x:f>
        <x:v>Убыточный</x:v>
      </x:c>
    </x:row>
    <x:row r="8">
      <x:c r="A8" s="48" t="str">
        <x:v>UM-007</x:v>
      </x:c>
      <x:c r="B8" s="48" t="str">
        <x:v>Платье с запахом</x:v>
      </x:c>
      <x:c r="C8" s="48" t="str">
        <x:v>Платья</x:v>
      </x:c>
      <x:c r="D8" s="80" t="n">
        <x:f>SUMIF('Данные_месяцы'!$B$2:$B$301,A8,'Данные_месяцы'!$I$2:$I$301)</x:f>
        <x:v>401</x:v>
      </x:c>
      <x:c r="E8" s="80" t="n">
        <x:f>SUMIF('Данные_месяцы'!$B$2:$B$301,A8,'Данные_месяцы'!$J$2:$J$301)</x:f>
        <x:v>170</x:v>
      </x:c>
      <x:c r="F8" s="80" t="n">
        <x:f>SUMIF('Данные_месяцы'!$B$2:$B$301,A8,'Данные_месяцы'!$K$2:$K$301)</x:f>
        <x:v>231</x:v>
      </x:c>
      <x:c r="G8" s="84" t="n">
        <x:f>IFERROR(F8/D8,0)</x:f>
        <x:v>0.5760598503740648</x:v>
      </x:c>
      <x:c r="H8" s="80" t="n">
        <x:f>SUMIF('Данные_месяцы'!$B$2:$B$301,A8,'Данные_месяцы'!$S$2:$S$301)</x:f>
        <x:v>917872.1375660507</x:v>
      </x:c>
      <x:c r="I8" s="80" t="n">
        <x:f>SUMIF('Данные_месяцы'!$B$2:$B$301,A8,'Данные_месяцы'!$Q$2:$Q$301)</x:f>
        <x:v>42519.096471206765</x:v>
      </x:c>
      <x:c r="J8" s="88" t="n">
        <x:f>IFERROR(H8/I8,0)</x:f>
        <x:v>21.58729168169457</x:v>
      </x:c>
      <x:c r="K8" s="80" t="n">
        <x:f>SUMIF('Данные_месяцы'!$B$2:$B$301,A8,'Данные_месяцы'!$M$2:$M$301)</x:f>
        <x:v>41109.892924358544</x:v>
      </x:c>
      <x:c r="L8" s="80" t="n">
        <x:f>SUMIF('Данные_месяцы'!$B$2:$B$301,A8,'Данные_месяцы'!$N$2:$N$301)</x:f>
        <x:v>10856.265157871978</x:v>
      </x:c>
      <x:c r="M8" s="80" t="n">
        <x:f>SUMIF('Данные_месяцы'!$B$2:$B$301,A8,'Данные_месяцы'!$O$2:$O$301)</x:f>
        <x:v>5654.251969020932</x:v>
      </x:c>
      <x:c r="N8" s="80" t="n">
        <x:f>SUMIF('Данные_месяцы'!$B$2:$B$301,A8,'Данные_месяцы'!$P$2:$P$301)</x:f>
        <x:v>198.09035785418115</x:v>
      </x:c>
      <x:c r="O8" s="80" t="n">
        <x:f>SUMIF('Данные_месяцы'!$B$2:$B$301,A8,'Данные_месяцы'!$U$2:$U$301)</x:f>
        <x:v>416178.6897555396</x:v>
      </x:c>
      <x:c r="P8" s="80" t="n">
        <x:f>SUMIF('Данные_месяцы'!$B$2:$B$301,A8,'Данные_месяцы'!$V$2:$V$301)</x:f>
        <x:v>223690.9198875727</x:v>
      </x:c>
      <x:c r="Q8" s="84" t="n">
        <x:f>IFERROR(P8/H8,0)</x:f>
        <x:v>0.24370597028987137</x:v>
      </x:c>
      <x:c r="R8" s="76" t="str">
        <x:f>IF(P8&lt;0,"Убыточный",IF(Q8&lt;0.1,"Низкая маржа","Прибыльный"))</x:f>
        <x:v>Прибыльный</x:v>
      </x:c>
    </x:row>
    <x:row r="9">
      <x:c r="A9" s="48" t="str">
        <x:v>UM-008</x:v>
      </x:c>
      <x:c r="B9" s="48" t="str">
        <x:v>Мини жакетное</x:v>
      </x:c>
      <x:c r="C9" s="48" t="str">
        <x:v>Платья</x:v>
      </x:c>
      <x:c r="D9" s="80" t="n">
        <x:f>SUMIF('Данные_месяцы'!$B$2:$B$301,A9,'Данные_месяцы'!$I$2:$I$301)</x:f>
        <x:v>310</x:v>
      </x:c>
      <x:c r="E9" s="80" t="n">
        <x:f>SUMIF('Данные_месяцы'!$B$2:$B$301,A9,'Данные_месяцы'!$J$2:$J$301)</x:f>
        <x:v>187</x:v>
      </x:c>
      <x:c r="F9" s="80" t="n">
        <x:f>SUMIF('Данные_месяцы'!$B$2:$B$301,A9,'Данные_месяцы'!$K$2:$K$301)</x:f>
        <x:v>123</x:v>
      </x:c>
      <x:c r="G9" s="84" t="n">
        <x:f>IFERROR(F9/D9,0)</x:f>
        <x:v>0.3967741935483871</x:v>
      </x:c>
      <x:c r="H9" s="80" t="n">
        <x:f>SUMIF('Данные_месяцы'!$B$2:$B$301,A9,'Данные_месяцы'!$S$2:$S$301)</x:f>
        <x:v>294617.4197258696</x:v>
      </x:c>
      <x:c r="I9" s="80" t="n">
        <x:f>SUMIF('Данные_месяцы'!$B$2:$B$301,A9,'Данные_месяцы'!$Q$2:$Q$301)</x:f>
        <x:v>71879.43623119421</x:v>
      </x:c>
      <x:c r="J9" s="88" t="n">
        <x:f>IFERROR(H9/I9,0)</x:f>
        <x:v>4.098771987836093</x:v>
      </x:c>
      <x:c r="K9" s="80" t="n">
        <x:f>SUMIF('Данные_месяцы'!$B$2:$B$301,A9,'Данные_месяцы'!$M$2:$M$301)</x:f>
        <x:v>31221.563722554227</x:v>
      </x:c>
      <x:c r="L9" s="80" t="n">
        <x:f>SUMIF('Данные_месяцы'!$B$2:$B$301,A9,'Данные_месяцы'!$N$2:$N$301)</x:f>
        <x:v>13064.200690667625</x:v>
      </x:c>
      <x:c r="M9" s="80" t="n">
        <x:f>SUMIF('Данные_месяцы'!$B$2:$B$301,A9,'Данные_месяцы'!$O$2:$O$301)</x:f>
        <x:v>4326.094592730204</x:v>
      </x:c>
      <x:c r="N9" s="80" t="n">
        <x:f>SUMIF('Данные_месяцы'!$B$2:$B$301,A9,'Данные_месяцы'!$P$2:$P$301)</x:f>
        <x:v>140.82037563072927</x:v>
      </x:c>
      <x:c r="O9" s="80" t="n">
        <x:f>SUMIF('Данные_месяцы'!$B$2:$B$301,A9,'Данные_месяцы'!$U$2:$U$301)</x:f>
        <x:v>111527.02445058964</x:v>
      </x:c>
      <x:c r="P9" s="80" t="n">
        <x:f>SUMIF('Данные_месяцы'!$B$2:$B$301,A9,'Данные_месяцы'!$V$2:$V$301)</x:f>
        <x:v>2571.461576337677</x:v>
      </x:c>
      <x:c r="Q9" s="84" t="n">
        <x:f>IFERROR(P9/H9,0)</x:f>
        <x:v>0.008728138270745582</x:v>
      </x:c>
      <x:c r="R9" s="76" t="str">
        <x:f>IF(P9&lt;0,"Убыточный",IF(Q9&lt;0.1,"Низкая маржа","Прибыльный"))</x:f>
        <x:v>Низкая маржа</x:v>
      </x:c>
    </x:row>
    <x:row r="10">
      <x:c r="A10" s="48" t="str">
        <x:v>UM-009</x:v>
      </x:c>
      <x:c r="B10" s="48" t="str">
        <x:v>Миди плиссе</x:v>
      </x:c>
      <x:c r="C10" s="48" t="str">
        <x:v>Платья</x:v>
      </x:c>
      <x:c r="D10" s="80" t="n">
        <x:f>SUMIF('Данные_месяцы'!$B$2:$B$301,A10,'Данные_месяцы'!$I$2:$I$301)</x:f>
        <x:v>175</x:v>
      </x:c>
      <x:c r="E10" s="80" t="n">
        <x:f>SUMIF('Данные_месяцы'!$B$2:$B$301,A10,'Данные_месяцы'!$J$2:$J$301)</x:f>
        <x:v>71</x:v>
      </x:c>
      <x:c r="F10" s="80" t="n">
        <x:f>SUMIF('Данные_месяцы'!$B$2:$B$301,A10,'Данные_месяцы'!$K$2:$K$301)</x:f>
        <x:v>104</x:v>
      </x:c>
      <x:c r="G10" s="84" t="n">
        <x:f>IFERROR(F10/D10,0)</x:f>
        <x:v>0.5942857142857143</x:v>
      </x:c>
      <x:c r="H10" s="80" t="n">
        <x:f>SUMIF('Данные_месяцы'!$B$2:$B$301,A10,'Данные_месяцы'!$S$2:$S$301)</x:f>
        <x:v>323803.8152972442</x:v>
      </x:c>
      <x:c r="I10" s="80" t="n">
        <x:f>SUMIF('Данные_месяцы'!$B$2:$B$301,A10,'Данные_месяцы'!$Q$2:$Q$301)</x:f>
        <x:v>18048.930227802288</x:v>
      </x:c>
      <x:c r="J10" s="88" t="n">
        <x:f>IFERROR(H10/I10,0)</x:f>
        <x:v>17.940332818089235</x:v>
      </x:c>
      <x:c r="K10" s="80" t="n">
        <x:f>SUMIF('Данные_месяцы'!$B$2:$B$301,A10,'Данные_месяцы'!$M$2:$M$301)</x:f>
        <x:v>18038.256363656772</x:v>
      </x:c>
      <x:c r="L10" s="80" t="n">
        <x:f>SUMIF('Данные_месяцы'!$B$2:$B$301,A10,'Данные_месяцы'!$N$2:$N$301)</x:f>
        <x:v>5133.7815616144635</x:v>
      </x:c>
      <x:c r="M10" s="80" t="n">
        <x:f>SUMIF('Данные_месяцы'!$B$2:$B$301,A10,'Данные_месяцы'!$O$2:$O$301)</x:f>
        <x:v>2688.091573449376</x:v>
      </x:c>
      <x:c r="N10" s="80" t="n">
        <x:f>SUMIF('Данные_месяцы'!$B$2:$B$301,A10,'Данные_месяцы'!$P$2:$P$301)</x:f>
        <x:v>579.1807623305419</x:v>
      </x:c>
      <x:c r="O10" s="80" t="n">
        <x:f>SUMIF('Данные_месяцы'!$B$2:$B$301,A10,'Данные_месяцы'!$U$2:$U$301)</x:f>
        <x:v>123992.39098767683</x:v>
      </x:c>
      <x:c r="P10" s="80" t="n">
        <x:f>SUMIF('Данные_месяцы'!$B$2:$B$301,A10,'Данные_месяцы'!$V$2:$V$301)</x:f>
        <x:v>89463.39704577927</x:v>
      </x:c>
      <x:c r="Q10" s="84" t="n">
        <x:f>IFERROR(P10/H10,0)</x:f>
        <x:v>0.2762888910485938</x:v>
      </x:c>
      <x:c r="R10" s="76" t="str">
        <x:f>IF(P10&lt;0,"Убыточный",IF(Q10&lt;0.1,"Низкая маржа","Прибыльный"))</x:f>
        <x:v>Прибыльный</x:v>
      </x:c>
    </x:row>
    <x:row r="11">
      <x:c r="A11" s="48" t="str">
        <x:v>UM-010</x:v>
      </x:c>
      <x:c r="B11" s="48" t="str">
        <x:v>Платье с рукавом</x:v>
      </x:c>
      <x:c r="C11" s="48" t="str">
        <x:v>Платья</x:v>
      </x:c>
      <x:c r="D11" s="80" t="n">
        <x:f>SUMIF('Данные_месяцы'!$B$2:$B$301,A11,'Данные_месяцы'!$I$2:$I$301)</x:f>
        <x:v>250</x:v>
      </x:c>
      <x:c r="E11" s="80" t="n">
        <x:f>SUMIF('Данные_месяцы'!$B$2:$B$301,A11,'Данные_месяцы'!$J$2:$J$301)</x:f>
        <x:v>113</x:v>
      </x:c>
      <x:c r="F11" s="80" t="n">
        <x:f>SUMIF('Данные_месяцы'!$B$2:$B$301,A11,'Данные_месяцы'!$K$2:$K$301)</x:f>
        <x:v>137</x:v>
      </x:c>
      <x:c r="G11" s="84" t="n">
        <x:f>IFERROR(F11/D11,0)</x:f>
        <x:v>0.548</x:v>
      </x:c>
      <x:c r="H11" s="80" t="n">
        <x:f>SUMIF('Данные_месяцы'!$B$2:$B$301,A11,'Данные_месяцы'!$S$2:$S$301)</x:f>
        <x:v>528234.9644556113</x:v>
      </x:c>
      <x:c r="I11" s="80" t="n">
        <x:f>SUMIF('Данные_месяцы'!$B$2:$B$301,A11,'Данные_месяцы'!$Q$2:$Q$301)</x:f>
        <x:v>39400.66920620101</x:v>
      </x:c>
      <x:c r="J11" s="88" t="n">
        <x:f>IFERROR(H11/I11,0)</x:f>
        <x:v>13.406751080574944</x:v>
      </x:c>
      <x:c r="K11" s="80" t="n">
        <x:f>SUMIF('Данные_месяцы'!$B$2:$B$301,A11,'Данные_месяцы'!$M$2:$M$301)</x:f>
        <x:v>25295.99796554972</x:v>
      </x:c>
      <x:c r="L11" s="80" t="n">
        <x:f>SUMIF('Данные_месяцы'!$B$2:$B$301,A11,'Данные_месяцы'!$N$2:$N$301)</x:f>
        <x:v>7120.822672422391</x:v>
      </x:c>
      <x:c r="M11" s="80" t="n">
        <x:f>SUMIF('Данные_месяцы'!$B$2:$B$301,A11,'Данные_месяцы'!$O$2:$O$301)</x:f>
        <x:v>3823.7267997344065</x:v>
      </x:c>
      <x:c r="N11" s="80" t="n">
        <x:f>SUMIF('Данные_месяцы'!$B$2:$B$301,A11,'Данные_месяцы'!$P$2:$P$301)</x:f>
        <x:v>24.985014295914446</x:v>
      </x:c>
      <x:c r="O11" s="80" t="n">
        <x:f>SUMIF('Данные_месяцы'!$B$2:$B$301,A11,'Данные_месяцы'!$U$2:$U$301)</x:f>
        <x:v>244281.4803381325</x:v>
      </x:c>
      <x:c r="P11" s="80" t="n">
        <x:f>SUMIF('Данные_месяцы'!$B$2:$B$301,A11,'Данные_месяцы'!$V$2:$V$301)</x:f>
        <x:v>107585.4914336419</x:v>
      </x:c>
      <x:c r="Q11" s="84" t="n">
        <x:f>IFERROR(P11/H11,0)</x:f>
        <x:v>0.2036697656780774</x:v>
      </x:c>
      <x:c r="R11" s="76" t="str">
        <x:f>IF(P11&lt;0,"Убыточный",IF(Q11&lt;0.1,"Низкая маржа","Прибыльный"))</x:f>
        <x:v>Прибыльный</x:v>
      </x:c>
    </x:row>
    <x:row r="12">
      <x:c r="A12" s="48" t="str">
        <x:v>UM-011</x:v>
      </x:c>
      <x:c r="B12" s="48" t="str">
        <x:v>Брючный классик</x:v>
      </x:c>
      <x:c r="C12" s="48" t="str">
        <x:v>Костюмы</x:v>
      </x:c>
      <x:c r="D12" s="80" t="n">
        <x:f>SUMIF('Данные_месяцы'!$B$2:$B$301,A12,'Данные_месяцы'!$I$2:$I$301)</x:f>
        <x:v>179</x:v>
      </x:c>
      <x:c r="E12" s="80" t="n">
        <x:f>SUMIF('Данные_месяцы'!$B$2:$B$301,A12,'Данные_месяцы'!$J$2:$J$301)</x:f>
        <x:v>81</x:v>
      </x:c>
      <x:c r="F12" s="80" t="n">
        <x:f>SUMIF('Данные_месяцы'!$B$2:$B$301,A12,'Данные_месяцы'!$K$2:$K$301)</x:f>
        <x:v>98</x:v>
      </x:c>
      <x:c r="G12" s="84" t="n">
        <x:f>IFERROR(F12/D12,0)</x:f>
        <x:v>0.547486033519553</x:v>
      </x:c>
      <x:c r="H12" s="80" t="n">
        <x:f>SUMIF('Данные_месяцы'!$B$2:$B$301,A12,'Данные_месяцы'!$S$2:$S$301)</x:f>
        <x:v>359828.500158709</x:v>
      </x:c>
      <x:c r="I12" s="80" t="n">
        <x:f>SUMIF('Данные_месяцы'!$B$2:$B$301,A12,'Данные_месяцы'!$Q$2:$Q$301)</x:f>
        <x:v>21240.98145873872</x:v>
      </x:c>
      <x:c r="J12" s="88" t="n">
        <x:f>IFERROR(H12/I12,0)</x:f>
        <x:v>16.940295384075696</x:v>
      </x:c>
      <x:c r="K12" s="80" t="n">
        <x:f>SUMIF('Данные_месяцы'!$B$2:$B$301,A12,'Данные_месяцы'!$M$2:$M$301)</x:f>
        <x:v>18075.570531424404</x:v>
      </x:c>
      <x:c r="L12" s="80" t="n">
        <x:f>SUMIF('Данные_месяцы'!$B$2:$B$301,A12,'Данные_месяцы'!$N$2:$N$301)</x:f>
        <x:v>5326.982943776283</x:v>
      </x:c>
      <x:c r="M12" s="80" t="n">
        <x:f>SUMIF('Данные_месяцы'!$B$2:$B$301,A12,'Данные_месяцы'!$O$2:$O$301)</x:f>
        <x:v>1965.1371060296412</x:v>
      </x:c>
      <x:c r="N12" s="80" t="n">
        <x:f>SUMIF('Данные_месяцы'!$B$2:$B$301,A12,'Данные_месяцы'!$P$2:$P$301)</x:f>
        <x:v>121.9155112014252</x:v>
      </x:c>
      <x:c r="O12" s="80" t="n">
        <x:f>SUMIF('Данные_месяцы'!$B$2:$B$301,A12,'Данные_месяцы'!$U$2:$U$301)</x:f>
        <x:v>175180.89667984148</x:v>
      </x:c>
      <x:c r="P12" s="80" t="n">
        <x:f>SUMIF('Данные_месяцы'!$B$2:$B$301,A12,'Данные_месяцы'!$V$2:$V$301)</x:f>
        <x:v>72413.62131573031</x:v>
      </x:c>
      <x:c r="Q12" s="84" t="n">
        <x:f>IFERROR(P12/H12,0)</x:f>
        <x:v>0.20124481880615613</x:v>
      </x:c>
      <x:c r="R12" s="76" t="str">
        <x:f>IF(P12&lt;0,"Убыточный",IF(Q12&lt;0.1,"Низкая маржа","Прибыльный"))</x:f>
        <x:v>Прибыльный</x:v>
      </x:c>
    </x:row>
    <x:row r="13">
      <x:c r="A13" s="48" t="str">
        <x:v>UM-012</x:v>
      </x:c>
      <x:c r="B13" s="48" t="str">
        <x:v>Трикотажный комплект</x:v>
      </x:c>
      <x:c r="C13" s="48" t="str">
        <x:v>Костюмы</x:v>
      </x:c>
      <x:c r="D13" s="80" t="n">
        <x:f>SUMIF('Данные_месяцы'!$B$2:$B$301,A13,'Данные_месяцы'!$I$2:$I$301)</x:f>
        <x:v>366</x:v>
      </x:c>
      <x:c r="E13" s="80" t="n">
        <x:f>SUMIF('Данные_месяцы'!$B$2:$B$301,A13,'Данные_месяцы'!$J$2:$J$301)</x:f>
        <x:v>136</x:v>
      </x:c>
      <x:c r="F13" s="80" t="n">
        <x:f>SUMIF('Данные_месяцы'!$B$2:$B$301,A13,'Данные_месяцы'!$K$2:$K$301)</x:f>
        <x:v>230</x:v>
      </x:c>
      <x:c r="G13" s="84" t="n">
        <x:f>IFERROR(F13/D13,0)</x:f>
        <x:v>0.6284153005464481</x:v>
      </x:c>
      <x:c r="H13" s="80" t="n">
        <x:f>SUMIF('Данные_месяцы'!$B$2:$B$301,A13,'Данные_месяцы'!$S$2:$S$301)</x:f>
        <x:v>1042436.4224424299</x:v>
      </x:c>
      <x:c r="I13" s="80" t="n">
        <x:f>SUMIF('Данные_месяцы'!$B$2:$B$301,A13,'Данные_месяцы'!$Q$2:$Q$301)</x:f>
        <x:v>40239.0292775915</x:v>
      </x:c>
      <x:c r="J13" s="88" t="n">
        <x:f>IFERROR(H13/I13,0)</x:f>
        <x:v>25.906102636102776</x:v>
      </x:c>
      <x:c r="K13" s="80" t="n">
        <x:f>SUMIF('Данные_месяцы'!$B$2:$B$301,A13,'Данные_месяцы'!$M$2:$M$301)</x:f>
        <x:v>38404.549653078204</x:v>
      </x:c>
      <x:c r="L13" s="80" t="n">
        <x:f>SUMIF('Данные_месяцы'!$B$2:$B$301,A13,'Данные_месяцы'!$N$2:$N$301)</x:f>
        <x:v>9298.075170729995</x:v>
      </x:c>
      <x:c r="M13" s="80" t="n">
        <x:f>SUMIF('Данные_месяцы'!$B$2:$B$301,A13,'Данные_месяцы'!$O$2:$O$301)</x:f>
        <x:v>5598.366976823821</x:v>
      </x:c>
      <x:c r="N13" s="80" t="n">
        <x:f>SUMIF('Данные_месяцы'!$B$2:$B$301,A13,'Данные_месяцы'!$P$2:$P$301)</x:f>
        <x:v>167.7175366664075</x:v>
      </x:c>
      <x:c r="O13" s="80" t="n">
        <x:f>SUMIF('Данные_месяцы'!$B$2:$B$301,A13,'Данные_месяцы'!$U$2:$U$301)</x:f>
        <x:v>501220.04757187795</x:v>
      </x:c>
      <x:c r="P13" s="80" t="n">
        <x:f>SUMIF('Данные_месяцы'!$B$2:$B$301,A13,'Данные_месяцы'!$V$2:$V$301)</x:f>
        <x:v>245042.94390717288</x:v>
      </x:c>
      <x:c r="Q13" s="84" t="n">
        <x:f>IFERROR(P13/H13,0)</x:f>
        <x:v>0.235067519353398</x:v>
      </x:c>
      <x:c r="R13" s="76" t="str">
        <x:f>IF(P13&lt;0,"Убыточный",IF(Q13&lt;0.1,"Низкая маржа","Прибыльный"))</x:f>
        <x:v>Прибыльный</x:v>
      </x:c>
    </x:row>
    <x:row r="14">
      <x:c r="A14" s="48" t="str">
        <x:v>UM-013</x:v>
      </x:c>
      <x:c r="B14" s="48" t="str">
        <x:v>Костюм-тройка</x:v>
      </x:c>
      <x:c r="C14" s="48" t="str">
        <x:v>Костюмы</x:v>
      </x:c>
      <x:c r="D14" s="80" t="n">
        <x:f>SUMIF('Данные_месяцы'!$B$2:$B$301,A14,'Данные_месяцы'!$I$2:$I$301)</x:f>
        <x:v>230</x:v>
      </x:c>
      <x:c r="E14" s="80" t="n">
        <x:f>SUMIF('Данные_месяцы'!$B$2:$B$301,A14,'Данные_месяцы'!$J$2:$J$301)</x:f>
        <x:v>97</x:v>
      </x:c>
      <x:c r="F14" s="80" t="n">
        <x:f>SUMIF('Данные_месяцы'!$B$2:$B$301,A14,'Данные_месяцы'!$K$2:$K$301)</x:f>
        <x:v>133</x:v>
      </x:c>
      <x:c r="G14" s="84" t="n">
        <x:f>IFERROR(F14/D14,0)</x:f>
        <x:v>0.5782608695652174</x:v>
      </x:c>
      <x:c r="H14" s="80" t="n">
        <x:f>SUMIF('Данные_месяцы'!$B$2:$B$301,A14,'Данные_месяцы'!$S$2:$S$301)</x:f>
        <x:v>466996.26054758567</x:v>
      </x:c>
      <x:c r="I14" s="80" t="n">
        <x:f>SUMIF('Данные_месяцы'!$B$2:$B$301,A14,'Данные_месяцы'!$Q$2:$Q$301)</x:f>
        <x:v>28010.787134526825</x:v>
      </x:c>
      <x:c r="J14" s="88" t="n">
        <x:f>IFERROR(H14/I14,0)</x:f>
        <x:v>16.672014902856976</x:v>
      </x:c>
      <x:c r="K14" s="80" t="n">
        <x:f>SUMIF('Данные_месяцы'!$B$2:$B$301,A14,'Данные_месяцы'!$M$2:$M$301)</x:f>
        <x:v>22898.635289730642</x:v>
      </x:c>
      <x:c r="L14" s="80" t="n">
        <x:f>SUMIF('Данные_месяцы'!$B$2:$B$301,A14,'Данные_месяцы'!$N$2:$N$301)</x:f>
        <x:v>6722.128267180494</x:v>
      </x:c>
      <x:c r="M14" s="80" t="n">
        <x:f>SUMIF('Данные_месяцы'!$B$2:$B$301,A14,'Данные_месяцы'!$O$2:$O$301)</x:f>
        <x:v>5079.547356634534</x:v>
      </x:c>
      <x:c r="N14" s="80" t="n">
        <x:f>SUMIF('Данные_месяцы'!$B$2:$B$301,A14,'Данные_месяцы'!$P$2:$P$301)</x:f>
        <x:v>141.84926230514188</x:v>
      </x:c>
      <x:c r="O14" s="80" t="n">
        <x:f>SUMIF('Данные_месяцы'!$B$2:$B$301,A14,'Данные_месяцы'!$U$2:$U$301)</x:f>
        <x:v>203987.07751273317</x:v>
      </x:c>
      <x:c r="P14" s="80" t="n">
        <x:f>SUMIF('Данные_месяцы'!$B$2:$B$301,A14,'Данные_месяцы'!$V$2:$V$301)</x:f>
        <x:v>113460.9427049902</x:v>
      </x:c>
      <x:c r="Q14" s="84" t="n">
        <x:f>IFERROR(P14/H14,0)</x:f>
        <x:v>0.24295899622825531</x:v>
      </x:c>
      <x:c r="R14" s="76" t="str">
        <x:f>IF(P14&lt;0,"Убыточный",IF(Q14&lt;0.1,"Низкая маржа","Прибыльный"))</x:f>
        <x:v>Прибыльный</x:v>
      </x:c>
    </x:row>
    <x:row r="15">
      <x:c r="A15" s="48" t="str">
        <x:v>UM-014</x:v>
      </x:c>
      <x:c r="B15" s="48" t="str">
        <x:v>Жакет и юбка</x:v>
      </x:c>
      <x:c r="C15" s="48" t="str">
        <x:v>Костюмы</x:v>
      </x:c>
      <x:c r="D15" s="80" t="n">
        <x:f>SUMIF('Данные_месяцы'!$B$2:$B$301,A15,'Данные_месяцы'!$I$2:$I$301)</x:f>
        <x:v>208</x:v>
      </x:c>
      <x:c r="E15" s="80" t="n">
        <x:f>SUMIF('Данные_месяцы'!$B$2:$B$301,A15,'Данные_месяцы'!$J$2:$J$301)</x:f>
        <x:v>82</x:v>
      </x:c>
      <x:c r="F15" s="80" t="n">
        <x:f>SUMIF('Данные_месяцы'!$B$2:$B$301,A15,'Данные_месяцы'!$K$2:$K$301)</x:f>
        <x:v>126</x:v>
      </x:c>
      <x:c r="G15" s="84" t="n">
        <x:f>IFERROR(F15/D15,0)</x:f>
        <x:v>0.6057692307692307</x:v>
      </x:c>
      <x:c r="H15" s="80" t="n">
        <x:f>SUMIF('Данные_месяцы'!$B$2:$B$301,A15,'Данные_месяцы'!$S$2:$S$301)</x:f>
        <x:v>584108.485855008</x:v>
      </x:c>
      <x:c r="I15" s="80" t="n">
        <x:f>SUMIF('Данные_месяцы'!$B$2:$B$301,A15,'Данные_месяцы'!$Q$2:$Q$301)</x:f>
        <x:v>29293.256566031814</x:v>
      </x:c>
      <x:c r="J15" s="88" t="n">
        <x:f>IFERROR(H15/I15,0)</x:f>
        <x:v>19.94003242822564</x:v>
      </x:c>
      <x:c r="K15" s="80" t="n">
        <x:f>SUMIF('Данные_месяцы'!$B$2:$B$301,A15,'Данные_месяцы'!$M$2:$M$301)</x:f>
        <x:v>21905.13076334811</x:v>
      </x:c>
      <x:c r="L15" s="80" t="n">
        <x:f>SUMIF('Данные_месяцы'!$B$2:$B$301,A15,'Данные_месяцы'!$N$2:$N$301)</x:f>
        <x:v>5488.620197470932</x:v>
      </x:c>
      <x:c r="M15" s="80" t="n">
        <x:f>SUMIF('Данные_месяцы'!$B$2:$B$301,A15,'Данные_месяцы'!$O$2:$O$301)</x:f>
        <x:v>4019.642410704202</x:v>
      </x:c>
      <x:c r="N15" s="80" t="n">
        <x:f>SUMIF('Данные_месяцы'!$B$2:$B$301,A15,'Данные_месяцы'!$P$2:$P$301)</x:f>
        <x:v>171.64598788999882</x:v>
      </x:c>
      <x:c r="O15" s="80" t="n">
        <x:f>SUMIF('Данные_месяцы'!$B$2:$B$301,A15,'Данные_месяцы'!$U$2:$U$301)</x:f>
        <x:v>242664.34972533077</x:v>
      </x:c>
      <x:c r="P15" s="80" t="n">
        <x:f>SUMIF('Данные_месяцы'!$B$2:$B$301,A15,'Данные_месяцы'!$V$2:$V$301)</x:f>
        <x:v>162540.94336087024</x:v>
      </x:c>
      <x:c r="Q15" s="84" t="n">
        <x:f>IFERROR(P15/H15,0)</x:f>
        <x:v>0.2782718404149626</x:v>
      </x:c>
      <x:c r="R15" s="76" t="str">
        <x:f>IF(P15&lt;0,"Убыточный",IF(Q15&lt;0.1,"Низкая маржа","Прибыльный"))</x:f>
        <x:v>Прибыльный</x:v>
      </x:c>
    </x:row>
    <x:row r="16">
      <x:c r="A16" s="48" t="str">
        <x:v>UM-015</x:v>
      </x:c>
      <x:c r="B16" s="48" t="str">
        <x:v>Льняной комплект</x:v>
      </x:c>
      <x:c r="C16" s="48" t="str">
        <x:v>Костюмы</x:v>
      </x:c>
      <x:c r="D16" s="80" t="n">
        <x:f>SUMIF('Данные_месяцы'!$B$2:$B$301,A16,'Данные_месяцы'!$I$2:$I$301)</x:f>
        <x:v>292</x:v>
      </x:c>
      <x:c r="E16" s="80" t="n">
        <x:f>SUMIF('Данные_месяцы'!$B$2:$B$301,A16,'Данные_месяцы'!$J$2:$J$301)</x:f>
        <x:v>137</x:v>
      </x:c>
      <x:c r="F16" s="80" t="n">
        <x:f>SUMIF('Данные_месяцы'!$B$2:$B$301,A16,'Данные_месяцы'!$K$2:$K$301)</x:f>
        <x:v>155</x:v>
      </x:c>
      <x:c r="G16" s="84" t="n">
        <x:f>IFERROR(F16/D16,0)</x:f>
        <x:v>0.5308219178082192</x:v>
      </x:c>
      <x:c r="H16" s="80" t="n">
        <x:f>SUMIF('Данные_месяцы'!$B$2:$B$301,A16,'Данные_месяцы'!$S$2:$S$301)</x:f>
        <x:v>473737.2206362742</x:v>
      </x:c>
      <x:c r="I16" s="80" t="n">
        <x:f>SUMIF('Данные_месяцы'!$B$2:$B$301,A16,'Данные_месяцы'!$Q$2:$Q$301)</x:f>
        <x:v>43251.38788493359</x:v>
      </x:c>
      <x:c r="J16" s="88" t="n">
        <x:f>IFERROR(H16/I16,0)</x:f>
        <x:v>10.953110265423373</x:v>
      </x:c>
      <x:c r="K16" s="80" t="n">
        <x:f>SUMIF('Данные_месяцы'!$B$2:$B$301,A16,'Данные_месяцы'!$M$2:$M$301)</x:f>
        <x:v>29193.748496416385</x:v>
      </x:c>
      <x:c r="L16" s="80" t="n">
        <x:f>SUMIF('Данные_месяцы'!$B$2:$B$301,A16,'Данные_месяцы'!$N$2:$N$301)</x:f>
        <x:v>9400.236951269364</x:v>
      </x:c>
      <x:c r="M16" s="80" t="n">
        <x:f>SUMIF('Данные_месяцы'!$B$2:$B$301,A16,'Данные_месяцы'!$O$2:$O$301)</x:f>
        <x:v>4270.416329295725</x:v>
      </x:c>
      <x:c r="N16" s="80" t="n">
        <x:f>SUMIF('Данные_месяцы'!$B$2:$B$301,A16,'Данные_месяцы'!$P$2:$P$301)</x:f>
        <x:v>198.32358274365663</x:v>
      </x:c>
      <x:c r="O16" s="80" t="n">
        <x:f>SUMIF('Данные_месяцы'!$B$2:$B$301,A16,'Данные_месяцы'!$U$2:$U$301)</x:f>
        <x:v>264373.2038122267</x:v>
      </x:c>
      <x:c r="P16" s="80" t="n">
        <x:f>SUMIF('Данные_месяцы'!$B$2:$B$301,A16,'Данные_месяцы'!$V$2:$V$301)</x:f>
        <x:v>33368.866484121725</x:v>
      </x:c>
      <x:c r="Q16" s="84" t="n">
        <x:f>IFERROR(P16/H16,0)</x:f>
        <x:v>0.07043750212259903</x:v>
      </x:c>
      <x:c r="R16" s="76" t="str">
        <x:f>IF(P16&lt;0,"Убыточный",IF(Q16&lt;0.1,"Низкая маржа","Прибыльный"))</x:f>
        <x:v>Низкая маржа</x:v>
      </x:c>
    </x:row>
    <x:row r="17">
      <x:c r="A17" s="48" t="str">
        <x:v>UM-016</x:v>
      </x:c>
      <x:c r="B17" s="48" t="str">
        <x:v>Костюм oversize</x:v>
      </x:c>
      <x:c r="C17" s="48" t="str">
        <x:v>Костюмы</x:v>
      </x:c>
      <x:c r="D17" s="80" t="n">
        <x:f>SUMIF('Данные_месяцы'!$B$2:$B$301,A17,'Данные_месяцы'!$I$2:$I$301)</x:f>
        <x:v>154</x:v>
      </x:c>
      <x:c r="E17" s="80" t="n">
        <x:f>SUMIF('Данные_месяцы'!$B$2:$B$301,A17,'Данные_месяцы'!$J$2:$J$301)</x:f>
        <x:v>70</x:v>
      </x:c>
      <x:c r="F17" s="80" t="n">
        <x:f>SUMIF('Данные_месяцы'!$B$2:$B$301,A17,'Данные_месяцы'!$K$2:$K$301)</x:f>
        <x:v>84</x:v>
      </x:c>
      <x:c r="G17" s="84" t="n">
        <x:f>IFERROR(F17/D17,0)</x:f>
        <x:v>0.5454545454545454</x:v>
      </x:c>
      <x:c r="H17" s="80" t="n">
        <x:f>SUMIF('Данные_месяцы'!$B$2:$B$301,A17,'Данные_месяцы'!$S$2:$S$301)</x:f>
        <x:v>396245.6047493624</x:v>
      </x:c>
      <x:c r="I17" s="80" t="n">
        <x:f>SUMIF('Данные_месяцы'!$B$2:$B$301,A17,'Данные_месяцы'!$Q$2:$Q$301)</x:f>
        <x:v>22977.23361892815</x:v>
      </x:c>
      <x:c r="J17" s="88" t="n">
        <x:f>IFERROR(H17/I17,0)</x:f>
        <x:v>17.245139746629196</x:v>
      </x:c>
      <x:c r="K17" s="80" t="n">
        <x:f>SUMIF('Данные_месяцы'!$B$2:$B$301,A17,'Данные_месяцы'!$M$2:$M$301)</x:f>
        <x:v>14184.389661776448</x:v>
      </x:c>
      <x:c r="L17" s="80" t="n">
        <x:f>SUMIF('Данные_месяцы'!$B$2:$B$301,A17,'Данные_месяцы'!$N$2:$N$301)</x:f>
        <x:v>4400.517154274895</x:v>
      </x:c>
      <x:c r="M17" s="80" t="n">
        <x:f>SUMIF('Данные_месяцы'!$B$2:$B$301,A17,'Данные_месяцы'!$O$2:$O$301)</x:f>
        <x:v>2073.564510240352</x:v>
      </x:c>
      <x:c r="N17" s="80" t="n">
        <x:f>SUMIF('Данные_месяцы'!$B$2:$B$301,A17,'Данные_месяцы'!$P$2:$P$301)</x:f>
        <x:v>0</x:v>
      </x:c>
      <x:c r="O17" s="80" t="n">
        <x:f>SUMIF('Данные_месяцы'!$B$2:$B$301,A17,'Данные_месяцы'!$U$2:$U$301)</x:f>
        <x:v>157630.00864907508</x:v>
      </x:c>
      <x:c r="P17" s="80" t="n">
        <x:f>SUMIF('Данные_месяцы'!$B$2:$B$301,A17,'Данные_месяцы'!$V$2:$V$301)</x:f>
        <x:v>111137.85416384636</x:v>
      </x:c>
      <x:c r="Q17" s="84" t="n">
        <x:f>IFERROR(P17/H17,0)</x:f>
        <x:v>0.28047719099406665</x:v>
      </x:c>
      <x:c r="R17" s="76" t="str">
        <x:f>IF(P17&lt;0,"Убыточный",IF(Q17&lt;0.1,"Низкая маржа","Прибыльный"))</x:f>
        <x:v>Прибыльный</x:v>
      </x:c>
    </x:row>
    <x:row r="18">
      <x:c r="A18" s="48" t="str">
        <x:v>UM-017</x:v>
      </x:c>
      <x:c r="B18" s="48" t="str">
        <x:v>Офисный комплект</x:v>
      </x:c>
      <x:c r="C18" s="48" t="str">
        <x:v>Костюмы</x:v>
      </x:c>
      <x:c r="D18" s="80" t="n">
        <x:f>SUMIF('Данные_месяцы'!$B$2:$B$301,A18,'Данные_месяцы'!$I$2:$I$301)</x:f>
        <x:v>307</x:v>
      </x:c>
      <x:c r="E18" s="80" t="n">
        <x:f>SUMIF('Данные_месяцы'!$B$2:$B$301,A18,'Данные_месяцы'!$J$2:$J$301)</x:f>
        <x:v>127</x:v>
      </x:c>
      <x:c r="F18" s="80" t="n">
        <x:f>SUMIF('Данные_месяцы'!$B$2:$B$301,A18,'Данные_месяцы'!$K$2:$K$301)</x:f>
        <x:v>180</x:v>
      </x:c>
      <x:c r="G18" s="84" t="n">
        <x:f>IFERROR(F18/D18,0)</x:f>
        <x:v>0.5863192182410424</x:v>
      </x:c>
      <x:c r="H18" s="80" t="n">
        <x:f>SUMIF('Данные_месяцы'!$B$2:$B$301,A18,'Данные_месяцы'!$S$2:$S$301)</x:f>
        <x:v>678343.2297138143</x:v>
      </x:c>
      <x:c r="I18" s="80" t="n">
        <x:f>SUMIF('Данные_месяцы'!$B$2:$B$301,A18,'Данные_месяцы'!$Q$2:$Q$301)</x:f>
        <x:v>46621.815876787165</x:v>
      </x:c>
      <x:c r="J18" s="88" t="n">
        <x:f>IFERROR(H18/I18,0)</x:f>
        <x:v>14.549910100167484</x:v>
      </x:c>
      <x:c r="K18" s="80" t="n">
        <x:f>SUMIF('Данные_месяцы'!$B$2:$B$301,A18,'Данные_месяцы'!$M$2:$M$301)</x:f>
        <x:v>28901.139235797717</x:v>
      </x:c>
      <x:c r="L18" s="80" t="n">
        <x:f>SUMIF('Данные_месяцы'!$B$2:$B$301,A18,'Данные_месяцы'!$N$2:$N$301)</x:f>
        <x:v>8793.572312511002</x:v>
      </x:c>
      <x:c r="M18" s="80" t="n">
        <x:f>SUMIF('Данные_месяцы'!$B$2:$B$301,A18,'Данные_месяцы'!$O$2:$O$301)</x:f>
        <x:v>5276.026121567312</x:v>
      </x:c>
      <x:c r="N18" s="80" t="n">
        <x:f>SUMIF('Данные_месяцы'!$B$2:$B$301,A18,'Данные_месяцы'!$P$2:$P$301)</x:f>
        <x:v>0</x:v>
      </x:c>
      <x:c r="O18" s="80" t="n">
        <x:f>SUMIF('Данные_месяцы'!$B$2:$B$301,A18,'Данные_месяцы'!$U$2:$U$301)</x:f>
        <x:v>267333.28976858576</x:v>
      </x:c>
      <x:c r="P18" s="80" t="n">
        <x:f>SUMIF('Данные_месяцы'!$B$2:$B$301,A18,'Данные_месяцы'!$V$2:$V$301)</x:f>
        <x:v>181306.82448164903</x:v>
      </x:c>
      <x:c r="Q18" s="84" t="n">
        <x:f>IFERROR(P18/H18,0)</x:f>
        <x:v>0.2672788885327866</x:v>
      </x:c>
      <x:c r="R18" s="76" t="str">
        <x:f>IF(P18&lt;0,"Убыточный",IF(Q18&lt;0.1,"Низкая маржа","Прибыльный"))</x:f>
        <x:v>Прибыльный</x:v>
      </x:c>
    </x:row>
    <x:row r="19">
      <x:c r="A19" s="48" t="str">
        <x:v>UM-018</x:v>
      </x:c>
      <x:c r="B19" s="48" t="str">
        <x:v>Костюм с жилетом</x:v>
      </x:c>
      <x:c r="C19" s="48" t="str">
        <x:v>Костюмы</x:v>
      </x:c>
      <x:c r="D19" s="80" t="n">
        <x:f>SUMIF('Данные_месяцы'!$B$2:$B$301,A19,'Данные_месяцы'!$I$2:$I$301)</x:f>
        <x:v>150</x:v>
      </x:c>
      <x:c r="E19" s="80" t="n">
        <x:f>SUMIF('Данные_месяцы'!$B$2:$B$301,A19,'Данные_месяцы'!$J$2:$J$301)</x:f>
        <x:v>67</x:v>
      </x:c>
      <x:c r="F19" s="80" t="n">
        <x:f>SUMIF('Данные_месяцы'!$B$2:$B$301,A19,'Данные_месяцы'!$K$2:$K$301)</x:f>
        <x:v>83</x:v>
      </x:c>
      <x:c r="G19" s="84" t="n">
        <x:f>IFERROR(F19/D19,0)</x:f>
        <x:v>0.5533333333333333</x:v>
      </x:c>
      <x:c r="H19" s="80" t="n">
        <x:f>SUMIF('Данные_месяцы'!$B$2:$B$301,A19,'Данные_месяцы'!$S$2:$S$301)</x:f>
        <x:v>367399.07383703324</x:v>
      </x:c>
      <x:c r="I19" s="80" t="n">
        <x:f>SUMIF('Данные_месяцы'!$B$2:$B$301,A19,'Данные_месяцы'!$Q$2:$Q$301)</x:f>
        <x:v>24902.935235511977</x:v>
      </x:c>
      <x:c r="J19" s="88" t="n">
        <x:f>IFERROR(H19/I19,0)</x:f>
        <x:v>14.753243758716296</x:v>
      </x:c>
      <x:c r="K19" s="80" t="n">
        <x:f>SUMIF('Данные_месяцы'!$B$2:$B$301,A19,'Данные_месяцы'!$M$2:$M$301)</x:f>
        <x:v>15783.78783455382</x:v>
      </x:c>
      <x:c r="L19" s="80" t="n">
        <x:f>SUMIF('Данные_месяцы'!$B$2:$B$301,A19,'Данные_месяцы'!$N$2:$N$301)</x:f>
        <x:v>5033.169905216409</x:v>
      </x:c>
      <x:c r="M19" s="80" t="n">
        <x:f>SUMIF('Данные_месяцы'!$B$2:$B$301,A19,'Данные_месяцы'!$O$2:$O$301)</x:f>
        <x:v>1972.1266032887906</x:v>
      </x:c>
      <x:c r="N19" s="80" t="n">
        <x:f>SUMIF('Данные_месяцы'!$B$2:$B$301,A19,'Данные_месяцы'!$P$2:$P$301)</x:f>
        <x:v>195.26347791650275</x:v>
      </x:c>
      <x:c r="O19" s="80" t="n">
        <x:f>SUMIF('Данные_месяцы'!$B$2:$B$301,A19,'Данные_месяцы'!$U$2:$U$301)</x:f>
        <x:v>173294.83290891608</x:v>
      </x:c>
      <x:c r="P19" s="80" t="n">
        <x:f>SUMIF('Данные_месяцы'!$B$2:$B$301,A19,'Данные_месяцы'!$V$2:$V$301)</x:f>
        <x:v>74738.27067514142</x:v>
      </x:c>
      <x:c r="Q19" s="84" t="n">
        <x:f>IFERROR(P19/H19,0)</x:f>
        <x:v>0.20342531050661544</x:v>
      </x:c>
      <x:c r="R19" s="76" t="str">
        <x:f>IF(P19&lt;0,"Убыточный",IF(Q19&lt;0.1,"Низкая маржа","Прибыльный"))</x:f>
        <x:v>Прибыльный</x:v>
      </x:c>
    </x:row>
    <x:row r="20">
      <x:c r="A20" s="48" t="str">
        <x:v>UM-019</x:v>
      </x:c>
      <x:c r="B20" s="48" t="str">
        <x:v>Базовая рубашка</x:v>
      </x:c>
      <x:c r="C20" s="48" t="str">
        <x:v>Блузки</x:v>
      </x:c>
      <x:c r="D20" s="80" t="n">
        <x:f>SUMIF('Данные_месяцы'!$B$2:$B$301,A20,'Данные_месяцы'!$I$2:$I$301)</x:f>
        <x:v>258</x:v>
      </x:c>
      <x:c r="E20" s="80" t="n">
        <x:f>SUMIF('Данные_месяцы'!$B$2:$B$301,A20,'Данные_месяцы'!$J$2:$J$301)</x:f>
        <x:v>89</x:v>
      </x:c>
      <x:c r="F20" s="80" t="n">
        <x:f>SUMIF('Данные_месяцы'!$B$2:$B$301,A20,'Данные_месяцы'!$K$2:$K$301)</x:f>
        <x:v>169</x:v>
      </x:c>
      <x:c r="G20" s="84" t="n">
        <x:f>IFERROR(F20/D20,0)</x:f>
        <x:v>0.6550387596899225</x:v>
      </x:c>
      <x:c r="H20" s="80" t="n">
        <x:f>SUMIF('Данные_месяцы'!$B$2:$B$301,A20,'Данные_месяцы'!$S$2:$S$301)</x:f>
        <x:v>341905.1648326552</x:v>
      </x:c>
      <x:c r="I20" s="80" t="n">
        <x:f>SUMIF('Данные_месяцы'!$B$2:$B$301,A20,'Данные_месяцы'!$Q$2:$Q$301)</x:f>
        <x:v>24738.243460242364</x:v>
      </x:c>
      <x:c r="J20" s="88" t="n">
        <x:f>IFERROR(H20/I20,0)</x:f>
        <x:v>13.820915190771007</x:v>
      </x:c>
      <x:c r="K20" s="80" t="n">
        <x:f>SUMIF('Данные_месяцы'!$B$2:$B$301,A20,'Данные_месяцы'!$M$2:$M$301)</x:f>
        <x:v>26591.668872673912</x:v>
      </x:c>
      <x:c r="L20" s="80" t="n">
        <x:f>SUMIF('Данные_месяцы'!$B$2:$B$301,A20,'Данные_месяцы'!$N$2:$N$301)</x:f>
        <x:v>6306.896546472913</x:v>
      </x:c>
      <x:c r="M20" s="80" t="n">
        <x:f>SUMIF('Данные_месяцы'!$B$2:$B$301,A20,'Данные_месяцы'!$O$2:$O$301)</x:f>
        <x:v>3673.8565470745416</x:v>
      </x:c>
      <x:c r="N20" s="80" t="n">
        <x:f>SUMIF('Данные_месяцы'!$B$2:$B$301,A20,'Данные_месяцы'!$P$2:$P$301)</x:f>
        <x:v>155.60830189520613</x:v>
      </x:c>
      <x:c r="O20" s="80" t="n">
        <x:f>SUMIF('Данные_месяцы'!$B$2:$B$301,A20,'Данные_месяцы'!$U$2:$U$301)</x:f>
        <x:v>119317.53046353339</x:v>
      </x:c>
      <x:c r="P20" s="80" t="n">
        <x:f>SUMIF('Данные_месяцы'!$B$2:$B$301,A20,'Данные_месяцы'!$V$2:$V$301)</x:f>
        <x:v>97536.99937494361</x:v>
      </x:c>
      <x:c r="Q20" s="84" t="n">
        <x:f>IFERROR(P20/H20,0)</x:f>
        <x:v>0.28527501017038714</x:v>
      </x:c>
      <x:c r="R20" s="76" t="str">
        <x:f>IF(P20&lt;0,"Убыточный",IF(Q20&lt;0.1,"Низкая маржа","Прибыльный"))</x:f>
        <x:v>Прибыльный</x:v>
      </x:c>
    </x:row>
    <x:row r="21">
      <x:c r="A21" s="48" t="str">
        <x:v>UM-020</x:v>
      </x:c>
      <x:c r="B21" s="48" t="str">
        <x:v>Блузка с бантом</x:v>
      </x:c>
      <x:c r="C21" s="48" t="str">
        <x:v>Блузки</x:v>
      </x:c>
      <x:c r="D21" s="80" t="n">
        <x:f>SUMIF('Данные_месяцы'!$B$2:$B$301,A21,'Данные_месяцы'!$I$2:$I$301)</x:f>
        <x:v>413</x:v>
      </x:c>
      <x:c r="E21" s="80" t="n">
        <x:f>SUMIF('Данные_месяцы'!$B$2:$B$301,A21,'Данные_месяцы'!$J$2:$J$301)</x:f>
        <x:v>133</x:v>
      </x:c>
      <x:c r="F21" s="80" t="n">
        <x:f>SUMIF('Данные_месяцы'!$B$2:$B$301,A21,'Данные_месяцы'!$K$2:$K$301)</x:f>
        <x:v>280</x:v>
      </x:c>
      <x:c r="G21" s="84" t="n">
        <x:f>IFERROR(F21/D21,0)</x:f>
        <x:v>0.6779661016949152</x:v>
      </x:c>
      <x:c r="H21" s="80" t="n">
        <x:f>SUMIF('Данные_месяцы'!$B$2:$B$301,A21,'Данные_месяцы'!$S$2:$S$301)</x:f>
        <x:v>516542.4649540813</x:v>
      </x:c>
      <x:c r="I21" s="80" t="n">
        <x:f>SUMIF('Данные_месяцы'!$B$2:$B$301,A21,'Данные_месяцы'!$Q$2:$Q$301)</x:f>
        <x:v>13588.410499764188</x:v>
      </x:c>
      <x:c r="J21" s="88" t="n">
        <x:f>IFERROR(H21/I21,0)</x:f>
        <x:v>38.01345749475594</x:v>
      </x:c>
      <x:c r="K21" s="80" t="n">
        <x:f>SUMIF('Данные_месяцы'!$B$2:$B$301,A21,'Данные_месяцы'!$M$2:$M$301)</x:f>
        <x:v>42290.18620684206</x:v>
      </x:c>
      <x:c r="L21" s="80" t="n">
        <x:f>SUMIF('Данные_месяцы'!$B$2:$B$301,A21,'Данные_месяцы'!$N$2:$N$301)</x:f>
        <x:v>9990.293993527546</x:v>
      </x:c>
      <x:c r="M21" s="80" t="n">
        <x:f>SUMIF('Данные_месяцы'!$B$2:$B$301,A21,'Данные_месяцы'!$O$2:$O$301)</x:f>
        <x:v>5624.039623316317</x:v>
      </x:c>
      <x:c r="N21" s="80" t="n">
        <x:f>SUMIF('Данные_месяцы'!$B$2:$B$301,A21,'Данные_месяцы'!$P$2:$P$301)</x:f>
        <x:v>167.12210006409236</x:v>
      </x:c>
      <x:c r="O21" s="80" t="n">
        <x:f>SUMIF('Данные_месяцы'!$B$2:$B$301,A21,'Данные_месяцы'!$U$2:$U$301)</x:f>
        <x:v>185244.61983161577</x:v>
      </x:c>
      <x:c r="P21" s="80" t="n">
        <x:f>SUMIF('Данные_месяцы'!$B$2:$B$301,A21,'Данные_месяцы'!$V$2:$V$301)</x:f>
        <x:v>157940.59179111582</x:v>
      </x:c>
      <x:c r="Q21" s="84" t="n">
        <x:f>IFERROR(P21/H21,0)</x:f>
        <x:v>0.3057649709499802</x:v>
      </x:c>
      <x:c r="R21" s="76" t="str">
        <x:f>IF(P21&lt;0,"Убыточный",IF(Q21&lt;0.1,"Низкая маржа","Прибыльный"))</x:f>
        <x:v>Прибыльный</x:v>
      </x:c>
    </x:row>
    <x:row r="22">
      <x:c r="A22" s="48" t="str">
        <x:v>UM-021</x:v>
      </x:c>
      <x:c r="B22" s="48" t="str">
        <x:v>Шёлковая блузка</x:v>
      </x:c>
      <x:c r="C22" s="48" t="str">
        <x:v>Блузки</x:v>
      </x:c>
      <x:c r="D22" s="80" t="n">
        <x:f>SUMIF('Данные_месяцы'!$B$2:$B$301,A22,'Данные_месяцы'!$I$2:$I$301)</x:f>
        <x:v>254</x:v>
      </x:c>
      <x:c r="E22" s="80" t="n">
        <x:f>SUMIF('Данные_месяцы'!$B$2:$B$301,A22,'Данные_месяцы'!$J$2:$J$301)</x:f>
        <x:v>97</x:v>
      </x:c>
      <x:c r="F22" s="80" t="n">
        <x:f>SUMIF('Данные_месяцы'!$B$2:$B$301,A22,'Данные_месяцы'!$K$2:$K$301)</x:f>
        <x:v>157</x:v>
      </x:c>
      <x:c r="G22" s="84" t="n">
        <x:f>IFERROR(F22/D22,0)</x:f>
        <x:v>0.6181102362204725</x:v>
      </x:c>
      <x:c r="H22" s="80" t="n">
        <x:f>SUMIF('Данные_месяцы'!$B$2:$B$301,A22,'Данные_месяцы'!$S$2:$S$301)</x:f>
        <x:v>331277.63284508034</x:v>
      </x:c>
      <x:c r="I22" s="80" t="n">
        <x:f>SUMIF('Данные_месяцы'!$B$2:$B$301,A22,'Данные_месяцы'!$Q$2:$Q$301)</x:f>
        <x:v>20601.198680808357</x:v>
      </x:c>
      <x:c r="J22" s="88" t="n">
        <x:f>IFERROR(H22/I22,0)</x:f>
        <x:v>16.08050278907759</x:v>
      </x:c>
      <x:c r="K22" s="80" t="n">
        <x:f>SUMIF('Данные_месяцы'!$B$2:$B$301,A22,'Данные_месяцы'!$M$2:$M$301)</x:f>
        <x:v>23569.919517091243</x:v>
      </x:c>
      <x:c r="L22" s="80" t="n">
        <x:f>SUMIF('Данные_месяцы'!$B$2:$B$301,A22,'Данные_месяцы'!$N$2:$N$301)</x:f>
        <x:v>6671.540494873432</x:v>
      </x:c>
      <x:c r="M22" s="80" t="n">
        <x:f>SUMIF('Данные_месяцы'!$B$2:$B$301,A22,'Данные_месяцы'!$O$2:$O$301)</x:f>
        <x:v>3865.0860573167693</x:v>
      </x:c>
      <x:c r="N22" s="80" t="n">
        <x:f>SUMIF('Данные_месяцы'!$B$2:$B$301,A22,'Данные_месяцы'!$P$2:$P$301)</x:f>
        <x:v>0</x:v>
      </x:c>
      <x:c r="O22" s="80" t="n">
        <x:f>SUMIF('Данные_месяцы'!$B$2:$B$301,A22,'Данные_месяцы'!$U$2:$U$301)</x:f>
        <x:v>168164.2211528403</x:v>
      </x:c>
      <x:c r="P22" s="80" t="n">
        <x:f>SUMIF('Данные_месяцы'!$B$2:$B$301,A22,'Данные_месяцы'!$V$2:$V$301)</x:f>
        <x:v>43285.71735145744</x:v>
      </x:c>
      <x:c r="Q22" s="84" t="n">
        <x:f>IFERROR(P22/H22,0)</x:f>
        <x:v>0.13066296380987394</x:v>
      </x:c>
      <x:c r="R22" s="76" t="str">
        <x:f>IF(P22&lt;0,"Убыточный",IF(Q22&lt;0.1,"Низкая маржа","Прибыльный"))</x:f>
        <x:v>Прибыльный</x:v>
      </x:c>
    </x:row>
    <x:row r="23">
      <x:c r="A23" s="48" t="str">
        <x:v>UM-022</x:v>
      </x:c>
      <x:c r="B23" s="48" t="str">
        <x:v>Рубашка oversize</x:v>
      </x:c>
      <x:c r="C23" s="48" t="str">
        <x:v>Блузки</x:v>
      </x:c>
      <x:c r="D23" s="80" t="n">
        <x:f>SUMIF('Данные_месяцы'!$B$2:$B$301,A23,'Данные_месяцы'!$I$2:$I$301)</x:f>
        <x:v>306</x:v>
      </x:c>
      <x:c r="E23" s="80" t="n">
        <x:f>SUMIF('Данные_месяцы'!$B$2:$B$301,A23,'Данные_месяцы'!$J$2:$J$301)</x:f>
        <x:v>166</x:v>
      </x:c>
      <x:c r="F23" s="80" t="n">
        <x:f>SUMIF('Данные_месяцы'!$B$2:$B$301,A23,'Данные_месяцы'!$K$2:$K$301)</x:f>
        <x:v>140</x:v>
      </x:c>
      <x:c r="G23" s="84" t="n">
        <x:f>IFERROR(F23/D23,0)</x:f>
        <x:v>0.45751633986928103</x:v>
      </x:c>
      <x:c r="H23" s="80" t="n">
        <x:f>SUMIF('Данные_месяцы'!$B$2:$B$301,A23,'Данные_месяцы'!$S$2:$S$301)</x:f>
        <x:v>298363.4732096675</x:v>
      </x:c>
      <x:c r="I23" s="80" t="n">
        <x:f>SUMIF('Данные_месяцы'!$B$2:$B$301,A23,'Данные_месяцы'!$Q$2:$Q$301)</x:f>
        <x:v>84929.00017054692</x:v>
      </x:c>
      <x:c r="J23" s="88" t="n">
        <x:f>IFERROR(H23/I23,0)</x:f>
        <x:v>3.5130929671904805</x:v>
      </x:c>
      <x:c r="K23" s="80" t="n">
        <x:f>SUMIF('Данные_месяцы'!$B$2:$B$301,A23,'Данные_месяцы'!$M$2:$M$301)</x:f>
        <x:v>32046.480227277392</x:v>
      </x:c>
      <x:c r="L23" s="80" t="n">
        <x:f>SUMIF('Данные_месяцы'!$B$2:$B$301,A23,'Данные_месяцы'!$N$2:$N$301)</x:f>
        <x:v>12451.477047503178</x:v>
      </x:c>
      <x:c r="M23" s="80" t="n">
        <x:f>SUMIF('Данные_месяцы'!$B$2:$B$301,A23,'Данные_месяцы'!$O$2:$O$301)</x:f>
        <x:v>4900.536440661426</x:v>
      </x:c>
      <x:c r="N23" s="80" t="n">
        <x:f>SUMIF('Данные_месяцы'!$B$2:$B$301,A23,'Данные_месяцы'!$P$2:$P$301)</x:f>
        <x:v>423.81051908469925</x:v>
      </x:c>
      <x:c r="O23" s="80" t="n">
        <x:f>SUMIF('Данные_месяцы'!$B$2:$B$301,A23,'Данные_месяцы'!$U$2:$U$301)</x:f>
        <x:v>121107.43618555264</x:v>
      </x:c>
      <x:c r="P23" s="80" t="n">
        <x:f>SUMIF('Данные_месяцы'!$B$2:$B$301,A23,'Данные_месяцы'!$V$2:$V$301)</x:f>
        <x:v>-20559.049974111847</x:v>
      </x:c>
      <x:c r="Q23" s="84" t="n">
        <x:f>IFERROR(P23/H23,0)</x:f>
        <x:v>-0.06890605526523177</x:v>
      </x:c>
      <x:c r="R23" s="76" t="str">
        <x:f>IF(P23&lt;0,"Убыточный",IF(Q23&lt;0.1,"Низкая маржа","Прибыльный"))</x:f>
        <x:v>Убыточный</x:v>
      </x:c>
    </x:row>
    <x:row r="24">
      <x:c r="A24" s="48" t="str">
        <x:v>UM-023</x:v>
      </x:c>
      <x:c r="B24" s="48" t="str">
        <x:v>Блузка с воланами</x:v>
      </x:c>
      <x:c r="C24" s="48" t="str">
        <x:v>Блузки</x:v>
      </x:c>
      <x:c r="D24" s="80" t="n">
        <x:f>SUMIF('Данные_месяцы'!$B$2:$B$301,A24,'Данные_месяцы'!$I$2:$I$301)</x:f>
        <x:v>273</x:v>
      </x:c>
      <x:c r="E24" s="80" t="n">
        <x:f>SUMIF('Данные_месяцы'!$B$2:$B$301,A24,'Данные_месяцы'!$J$2:$J$301)</x:f>
        <x:v>103</x:v>
      </x:c>
      <x:c r="F24" s="80" t="n">
        <x:f>SUMIF('Данные_месяцы'!$B$2:$B$301,A24,'Данные_месяцы'!$K$2:$K$301)</x:f>
        <x:v>170</x:v>
      </x:c>
      <x:c r="G24" s="84" t="n">
        <x:f>IFERROR(F24/D24,0)</x:f>
        <x:v>0.6227106227106227</x:v>
      </x:c>
      <x:c r="H24" s="80" t="n">
        <x:f>SUMIF('Данные_месяцы'!$B$2:$B$301,A24,'Данные_месяцы'!$S$2:$S$301)</x:f>
        <x:v>246350.13893863425</x:v>
      </x:c>
      <x:c r="I24" s="80" t="n">
        <x:f>SUMIF('Данные_месяцы'!$B$2:$B$301,A24,'Данные_месяцы'!$Q$2:$Q$301)</x:f>
        <x:v>11382.536483835667</x:v>
      </x:c>
      <x:c r="J24" s="88" t="n">
        <x:f>IFERROR(H24/I24,0)</x:f>
        <x:v>21.642815666655313</x:v>
      </x:c>
      <x:c r="K24" s="80" t="n">
        <x:f>SUMIF('Данные_месяцы'!$B$2:$B$301,A24,'Данные_месяцы'!$M$2:$M$301)</x:f>
        <x:v>26906.72713080628</x:v>
      </x:c>
      <x:c r="L24" s="80" t="n">
        <x:f>SUMIF('Данные_месяцы'!$B$2:$B$301,A24,'Данные_месяцы'!$N$2:$N$301)</x:f>
        <x:v>6407.108596644325</x:v>
      </x:c>
      <x:c r="M24" s="80" t="n">
        <x:f>SUMIF('Данные_месяцы'!$B$2:$B$301,A24,'Данные_месяцы'!$O$2:$O$301)</x:f>
        <x:v>5260.9419185564675</x:v>
      </x:c>
      <x:c r="N24" s="80" t="n">
        <x:f>SUMIF('Данные_месяцы'!$B$2:$B$301,A24,'Данные_месяцы'!$P$2:$P$301)</x:f>
        <x:v>0</x:v>
      </x:c>
      <x:c r="O24" s="80" t="n">
        <x:f>SUMIF('Данные_месяцы'!$B$2:$B$301,A24,'Данные_месяцы'!$U$2:$U$301)</x:f>
        <x:v>103274.33838063154</x:v>
      </x:c>
      <x:c r="P24" s="80" t="n">
        <x:f>SUMIF('Данные_месяцы'!$B$2:$B$301,A24,'Данные_месяцы'!$V$2:$V$301)</x:f>
        <x:v>42507.12857090337</x:v>
      </x:c>
      <x:c r="Q24" s="84" t="n">
        <x:f>IFERROR(P24/H24,0)</x:f>
        <x:v>0.17254761354728476</x:v>
      </x:c>
      <x:c r="R24" s="76" t="str">
        <x:f>IF(P24&lt;0,"Убыточный",IF(Q24&lt;0.1,"Низкая маржа","Прибыльный"))</x:f>
        <x:v>Прибыльный</x:v>
      </x:c>
    </x:row>
    <x:row r="25">
      <x:c r="A25" s="48" t="str">
        <x:v>UM-024</x:v>
      </x:c>
      <x:c r="B25" s="48" t="str">
        <x:v>Топ с длинным рукавом</x:v>
      </x:c>
      <x:c r="C25" s="48" t="str">
        <x:v>Блузки</x:v>
      </x:c>
      <x:c r="D25" s="80" t="n">
        <x:f>SUMIF('Данные_месяцы'!$B$2:$B$301,A25,'Данные_месяцы'!$I$2:$I$301)</x:f>
        <x:v>245</x:v>
      </x:c>
      <x:c r="E25" s="80" t="n">
        <x:f>SUMIF('Данные_месяцы'!$B$2:$B$301,A25,'Данные_месяцы'!$J$2:$J$301)</x:f>
        <x:v>132</x:v>
      </x:c>
      <x:c r="F25" s="80" t="n">
        <x:f>SUMIF('Данные_месяцы'!$B$2:$B$301,A25,'Данные_месяцы'!$K$2:$K$301)</x:f>
        <x:v>113</x:v>
      </x:c>
      <x:c r="G25" s="84" t="n">
        <x:f>IFERROR(F25/D25,0)</x:f>
        <x:v>0.46122448979591835</x:v>
      </x:c>
      <x:c r="H25" s="80" t="n">
        <x:f>SUMIF('Данные_месяцы'!$B$2:$B$301,A25,'Данные_месяцы'!$S$2:$S$301)</x:f>
        <x:v>323703.831760634</x:v>
      </x:c>
      <x:c r="I25" s="80" t="n">
        <x:f>SUMIF('Данные_месяцы'!$B$2:$B$301,A25,'Данные_месяцы'!$Q$2:$Q$301)</x:f>
        <x:v>95441.42465296698</x:v>
      </x:c>
      <x:c r="J25" s="88" t="n">
        <x:f>IFERROR(H25/I25,0)</x:f>
        <x:v>3.3916492019859126</x:v>
      </x:c>
      <x:c r="K25" s="80" t="n">
        <x:f>SUMIF('Данные_месяцы'!$B$2:$B$301,A25,'Данные_месяцы'!$M$2:$M$301)</x:f>
        <x:v>23929.340122713085</x:v>
      </x:c>
      <x:c r="L25" s="80" t="n">
        <x:f>SUMIF('Данные_месяцы'!$B$2:$B$301,A25,'Данные_месяцы'!$N$2:$N$301)</x:f>
        <x:v>10093.208301368317</x:v>
      </x:c>
      <x:c r="M25" s="80" t="n">
        <x:f>SUMIF('Данные_месяцы'!$B$2:$B$301,A25,'Данные_месяцы'!$O$2:$O$301)</x:f>
        <x:v>3591.063198929466</x:v>
      </x:c>
      <x:c r="N25" s="80" t="n">
        <x:f>SUMIF('Данные_месяцы'!$B$2:$B$301,A25,'Данные_месяцы'!$P$2:$P$301)</x:f>
        <x:v>0</x:v>
      </x:c>
      <x:c r="O25" s="80" t="n">
        <x:f>SUMIF('Данные_месяцы'!$B$2:$B$301,A25,'Данные_месяцы'!$U$2:$U$301)</x:f>
        <x:v>128181.3167869947</x:v>
      </x:c>
      <x:c r="P25" s="80" t="n">
        <x:f>SUMIF('Данные_месяцы'!$B$2:$B$301,A25,'Данные_месяцы'!$V$2:$V$301)</x:f>
        <x:v>-1.6247792613539787</x:v>
      </x:c>
      <x:c r="Q25" s="84" t="n">
        <x:f>IFERROR(P25/H25,0)</x:f>
        <x:v>-0.00000501933898192295</x:v>
      </x:c>
      <x:c r="R25" s="76" t="str">
        <x:f>IF(P25&lt;0,"Убыточный",IF(Q25&lt;0.1,"Низкая маржа","Прибыльный"))</x:f>
        <x:v>Убыточный</x:v>
      </x:c>
    </x:row>
    <x:row r="26">
      <x:c r="A26" s="48" t="str">
        <x:v>UM-025</x:v>
      </x:c>
      <x:c r="B26" s="48" t="str">
        <x:v>Блузка в полоску</x:v>
      </x:c>
      <x:c r="C26" s="48" t="str">
        <x:v>Блузки</x:v>
      </x:c>
      <x:c r="D26" s="80" t="n">
        <x:f>SUMIF('Данные_месяцы'!$B$2:$B$301,A26,'Данные_месяцы'!$I$2:$I$301)</x:f>
        <x:v>240</x:v>
      </x:c>
      <x:c r="E26" s="80" t="n">
        <x:f>SUMIF('Данные_месяцы'!$B$2:$B$301,A26,'Данные_месяцы'!$J$2:$J$301)</x:f>
        <x:v>83</x:v>
      </x:c>
      <x:c r="F26" s="80" t="n">
        <x:f>SUMIF('Данные_месяцы'!$B$2:$B$301,A26,'Данные_месяцы'!$K$2:$K$301)</x:f>
        <x:v>157</x:v>
      </x:c>
      <x:c r="G26" s="84" t="n">
        <x:f>IFERROR(F26/D26,0)</x:f>
        <x:v>0.6541666666666667</x:v>
      </x:c>
      <x:c r="H26" s="80" t="n">
        <x:f>SUMIF('Данные_месяцы'!$B$2:$B$301,A26,'Данные_месяцы'!$S$2:$S$301)</x:f>
        <x:v>255679.6012700352</x:v>
      </x:c>
      <x:c r="I26" s="80" t="n">
        <x:f>SUMIF('Данные_месяцы'!$B$2:$B$301,A26,'Данные_месяцы'!$Q$2:$Q$301)</x:f>
        <x:v>14260.8093944639</x:v>
      </x:c>
      <x:c r="J26" s="88" t="n">
        <x:f>IFERROR(H26/I26,0)</x:f>
        <x:v>17.928828175018662</x:v>
      </x:c>
      <x:c r="K26" s="80" t="n">
        <x:f>SUMIF('Данные_месяцы'!$B$2:$B$301,A26,'Данные_месяцы'!$M$2:$M$301)</x:f>
        <x:v>24106.751874646758</x:v>
      </x:c>
      <x:c r="L26" s="80" t="n">
        <x:f>SUMIF('Данные_месяцы'!$B$2:$B$301,A26,'Данные_месяцы'!$N$2:$N$301)</x:f>
        <x:v>6035.168020437019</x:v>
      </x:c>
      <x:c r="M26" s="80" t="n">
        <x:f>SUMIF('Данные_месяцы'!$B$2:$B$301,A26,'Данные_месяцы'!$O$2:$O$301)</x:f>
        <x:v>4724.155886628739</x:v>
      </x:c>
      <x:c r="N26" s="80" t="n">
        <x:f>SUMIF('Данные_месяцы'!$B$2:$B$301,A26,'Данные_месяцы'!$P$2:$P$301)</x:f>
        <x:v>0</x:v>
      </x:c>
      <x:c r="O26" s="80" t="n">
        <x:f>SUMIF('Данные_месяцы'!$B$2:$B$301,A26,'Данные_месяцы'!$U$2:$U$301)</x:f>
        <x:v>114890.14096934361</x:v>
      </x:c>
      <x:c r="P26" s="80" t="n">
        <x:f>SUMIF('Данные_месяцы'!$B$2:$B$301,A26,'Данные_месяцы'!$V$2:$V$301)</x:f>
        <x:v>43349.6700655708</x:v>
      </x:c>
      <x:c r="Q26" s="84" t="n">
        <x:f>IFERROR(P26/H26,0)</x:f>
        <x:v>0.1695468463273579</x:v>
      </x:c>
      <x:c r="R26" s="76" t="str">
        <x:f>IF(P26&lt;0,"Убыточный",IF(Q26&lt;0.1,"Низкая маржа","Прибыльный"))</x:f>
        <x:v>Прибыльный</x:v>
      </x:c>
    </x:row>
    <x:row r="27">
      <x:c r="A27" s="48" t="str">
        <x:v>UM-026</x:v>
      </x:c>
      <x:c r="B27" s="48" t="str">
        <x:v>Боди-рубашка</x:v>
      </x:c>
      <x:c r="C27" s="48" t="str">
        <x:v>Блузки</x:v>
      </x:c>
      <x:c r="D27" s="80" t="n">
        <x:f>SUMIF('Данные_месяцы'!$B$2:$B$301,A27,'Данные_месяцы'!$I$2:$I$301)</x:f>
        <x:v>325</x:v>
      </x:c>
      <x:c r="E27" s="80" t="n">
        <x:f>SUMIF('Данные_месяцы'!$B$2:$B$301,A27,'Данные_месяцы'!$J$2:$J$301)</x:f>
        <x:v>122</x:v>
      </x:c>
      <x:c r="F27" s="80" t="n">
        <x:f>SUMIF('Данные_месяцы'!$B$2:$B$301,A27,'Данные_месяцы'!$K$2:$K$301)</x:f>
        <x:v>203</x:v>
      </x:c>
      <x:c r="G27" s="84" t="n">
        <x:f>IFERROR(F27/D27,0)</x:f>
        <x:v>0.6246153846153846</x:v>
      </x:c>
      <x:c r="H27" s="80" t="n">
        <x:f>SUMIF('Данные_месяцы'!$B$2:$B$301,A27,'Данные_месяцы'!$S$2:$S$301)</x:f>
        <x:v>293926.2902330925</x:v>
      </x:c>
      <x:c r="I27" s="80" t="n">
        <x:f>SUMIF('Данные_месяцы'!$B$2:$B$301,A27,'Данные_месяцы'!$Q$2:$Q$301)</x:f>
        <x:v>27575.90123491026</x:v>
      </x:c>
      <x:c r="J27" s="88" t="n">
        <x:f>IFERROR(H27/I27,0)</x:f>
        <x:v>10.658809941667135</x:v>
      </x:c>
      <x:c r="K27" s="80" t="n">
        <x:f>SUMIF('Данные_месяцы'!$B$2:$B$301,A27,'Данные_месяцы'!$M$2:$M$301)</x:f>
        <x:v>35710.43387850732</x:v>
      </x:c>
      <x:c r="L27" s="80" t="n">
        <x:f>SUMIF('Данные_месяцы'!$B$2:$B$301,A27,'Данные_месяцы'!$N$2:$N$301)</x:f>
        <x:v>8402.324778466145</x:v>
      </x:c>
      <x:c r="M27" s="80" t="n">
        <x:f>SUMIF('Данные_месяцы'!$B$2:$B$301,A27,'Данные_месяцы'!$O$2:$O$301)</x:f>
        <x:v>5424.211733530709</x:v>
      </x:c>
      <x:c r="N27" s="80" t="n">
        <x:f>SUMIF('Данные_месяцы'!$B$2:$B$301,A27,'Данные_месяцы'!$P$2:$P$301)</x:f>
        <x:v>98.31027790063617</x:v>
      </x:c>
      <x:c r="O27" s="80" t="n">
        <x:f>SUMIF('Данные_месяцы'!$B$2:$B$301,A27,'Данные_месяцы'!$U$2:$U$301)</x:f>
        <x:v>150070.11060676037</x:v>
      </x:c>
      <x:c r="P27" s="80" t="n">
        <x:f>SUMIF('Данные_месяцы'!$B$2:$B$301,A27,'Данные_месяцы'!$V$2:$V$301)</x:f>
        <x:v>6037.020251140082</x:v>
      </x:c>
      <x:c r="Q27" s="84" t="n">
        <x:f>IFERROR(P27/H27,0)</x:f>
        <x:v>0.0205392319494542</x:v>
      </x:c>
      <x:c r="R27" s="76" t="str">
        <x:f>IF(P27&lt;0,"Убыточный",IF(Q27&lt;0.1,"Низкая маржа","Прибыльный"))</x:f>
        <x:v>Низкая маржа</x:v>
      </x:c>
    </x:row>
    <x:row r="28">
      <x:c r="A28" s="48" t="str">
        <x:v>UM-027</x:v>
      </x:c>
      <x:c r="B28" s="48" t="str">
        <x:v>Палаццо</x:v>
      </x:c>
      <x:c r="C28" s="48" t="str">
        <x:v>Брюки</x:v>
      </x:c>
      <x:c r="D28" s="80" t="n">
        <x:f>SUMIF('Данные_месяцы'!$B$2:$B$301,A28,'Данные_месяцы'!$I$2:$I$301)</x:f>
        <x:v>263</x:v>
      </x:c>
      <x:c r="E28" s="80" t="n">
        <x:f>SUMIF('Данные_месяцы'!$B$2:$B$301,A28,'Данные_месяцы'!$J$2:$J$301)</x:f>
        <x:v>166</x:v>
      </x:c>
      <x:c r="F28" s="80" t="n">
        <x:f>SUMIF('Данные_месяцы'!$B$2:$B$301,A28,'Данные_месяцы'!$K$2:$K$301)</x:f>
        <x:v>97</x:v>
      </x:c>
      <x:c r="G28" s="84" t="n">
        <x:f>IFERROR(F28/D28,0)</x:f>
        <x:v>0.3688212927756654</x:v>
      </x:c>
      <x:c r="H28" s="80" t="n">
        <x:f>SUMIF('Данные_месяцы'!$B$2:$B$301,A28,'Данные_месяцы'!$S$2:$S$301)</x:f>
        <x:v>257573.05579299276</x:v>
      </x:c>
      <x:c r="I28" s="80" t="n">
        <x:f>SUMIF('Данные_месяцы'!$B$2:$B$301,A28,'Данные_месяцы'!$Q$2:$Q$301)</x:f>
        <x:v>77137.87128028</x:v>
      </x:c>
      <x:c r="J28" s="88" t="n">
        <x:f>IFERROR(H28/I28,0)</x:f>
        <x:v>3.3391257953839895</x:v>
      </x:c>
      <x:c r="K28" s="80" t="n">
        <x:f>SUMIF('Данные_месяцы'!$B$2:$B$301,A28,'Данные_месяцы'!$M$2:$M$301)</x:f>
        <x:v>27007.709680121967</x:v>
      </x:c>
      <x:c r="L28" s="80" t="n">
        <x:f>SUMIF('Данные_месяцы'!$B$2:$B$301,A28,'Данные_месяцы'!$N$2:$N$301)</x:f>
        <x:v>11688.240703575286</x:v>
      </x:c>
      <x:c r="M28" s="80" t="n">
        <x:f>SUMIF('Данные_месяцы'!$B$2:$B$301,A28,'Данные_месяцы'!$O$2:$O$301)</x:f>
        <x:v>4013.3634601096896</x:v>
      </x:c>
      <x:c r="N28" s="80" t="n">
        <x:f>SUMIF('Данные_месяцы'!$B$2:$B$301,A28,'Данные_месяцы'!$P$2:$P$301)</x:f>
        <x:v>20.19913892490634</x:v>
      </x:c>
      <x:c r="O28" s="80" t="n">
        <x:f>SUMIF('Данные_месяцы'!$B$2:$B$301,A28,'Данные_месяцы'!$U$2:$U$301)</x:f>
        <x:v>134794.65569146932</x:v>
      </x:c>
      <x:c r="P28" s="80" t="n">
        <x:f>SUMIF('Данные_месяцы'!$B$2:$B$301,A28,'Данные_месяцы'!$V$2:$V$301)</x:f>
        <x:v>-46820.6799108606</x:v>
      </x:c>
      <x:c r="Q28" s="84" t="n">
        <x:f>IFERROR(P28/H28,0)</x:f>
        <x:v>-0.18177631106139305</x:v>
      </x:c>
      <x:c r="R28" s="76" t="str">
        <x:f>IF(P28&lt;0,"Убыточный",IF(Q28&lt;0.1,"Низкая маржа","Прибыльный"))</x:f>
        <x:v>Убыточный</x:v>
      </x:c>
    </x:row>
    <x:row r="29">
      <x:c r="A29" s="48" t="str">
        <x:v>UM-028</x:v>
      </x:c>
      <x:c r="B29" s="48" t="str">
        <x:v>Классические прямые</x:v>
      </x:c>
      <x:c r="C29" s="48" t="str">
        <x:v>Брюки</x:v>
      </x:c>
      <x:c r="D29" s="80" t="n">
        <x:f>SUMIF('Данные_месяцы'!$B$2:$B$301,A29,'Данные_месяцы'!$I$2:$I$301)</x:f>
        <x:v>205</x:v>
      </x:c>
      <x:c r="E29" s="80" t="n">
        <x:f>SUMIF('Данные_месяцы'!$B$2:$B$301,A29,'Данные_месяцы'!$J$2:$J$301)</x:f>
        <x:v>68</x:v>
      </x:c>
      <x:c r="F29" s="80" t="n">
        <x:f>SUMIF('Данные_месяцы'!$B$2:$B$301,A29,'Данные_месяцы'!$K$2:$K$301)</x:f>
        <x:v>137</x:v>
      </x:c>
      <x:c r="G29" s="84" t="n">
        <x:f>IFERROR(F29/D29,0)</x:f>
        <x:v>0.6682926829268293</x:v>
      </x:c>
      <x:c r="H29" s="80" t="n">
        <x:f>SUMIF('Данные_месяцы'!$B$2:$B$301,A29,'Данные_месяцы'!$S$2:$S$301)</x:f>
        <x:v>261814.15607283876</x:v>
      </x:c>
      <x:c r="I29" s="80" t="n">
        <x:f>SUMIF('Данные_месяцы'!$B$2:$B$301,A29,'Данные_месяцы'!$Q$2:$Q$301)</x:f>
        <x:v>13075.942265909494</x:v>
      </x:c>
      <x:c r="J29" s="88" t="n">
        <x:f>IFERROR(H29/I29,0)</x:f>
        <x:v>20.022584281013444</x:v>
      </x:c>
      <x:c r="K29" s="80" t="n">
        <x:f>SUMIF('Данные_месяцы'!$B$2:$B$301,A29,'Данные_месяцы'!$M$2:$M$301)</x:f>
        <x:v>21089.309350233525</x:v>
      </x:c>
      <x:c r="L29" s="80" t="n">
        <x:f>SUMIF('Данные_месяцы'!$B$2:$B$301,A29,'Данные_месяцы'!$N$2:$N$301)</x:f>
        <x:v>4687.904733110495</x:v>
      </x:c>
      <x:c r="M29" s="80" t="n">
        <x:f>SUMIF('Данные_месяцы'!$B$2:$B$301,A29,'Данные_месяцы'!$O$2:$O$301)</x:f>
        <x:v>3102.833613512915</x:v>
      </x:c>
      <x:c r="N29" s="80" t="n">
        <x:f>SUMIF('Данные_месяцы'!$B$2:$B$301,A29,'Данные_месяцы'!$P$2:$P$301)</x:f>
        <x:v>98.84261950439075</x:v>
      </x:c>
      <x:c r="O29" s="80" t="n">
        <x:f>SUMIF('Данные_месяцы'!$B$2:$B$301,A29,'Данные_месяцы'!$U$2:$U$301)</x:f>
        <x:v>108303.01245075457</x:v>
      </x:c>
      <x:c r="P29" s="80" t="n">
        <x:f>SUMIF('Данные_месяцы'!$B$2:$B$301,A29,'Данные_месяцы'!$V$2:$V$301)</x:f>
        <x:v>56713.865746818534</x:v>
      </x:c>
      <x:c r="Q29" s="84" t="n">
        <x:f>IFERROR(P29/H29,0)</x:f>
        <x:v>0.21661879020414881</x:v>
      </x:c>
      <x:c r="R29" s="76" t="str">
        <x:f>IF(P29&lt;0,"Убыточный",IF(Q29&lt;0.1,"Низкая маржа","Прибыльный"))</x:f>
        <x:v>Прибыльный</x:v>
      </x:c>
    </x:row>
    <x:row r="30">
      <x:c r="A30" s="48" t="str">
        <x:v>UM-029</x:v>
      </x:c>
      <x:c r="B30" s="48" t="str">
        <x:v>Карго</x:v>
      </x:c>
      <x:c r="C30" s="48" t="str">
        <x:v>Брюки</x:v>
      </x:c>
      <x:c r="D30" s="80" t="n">
        <x:f>SUMIF('Данные_месяцы'!$B$2:$B$301,A30,'Данные_месяцы'!$I$2:$I$301)</x:f>
        <x:v>191</x:v>
      </x:c>
      <x:c r="E30" s="80" t="n">
        <x:f>SUMIF('Данные_месяцы'!$B$2:$B$301,A30,'Данные_месяцы'!$J$2:$J$301)</x:f>
        <x:v>103</x:v>
      </x:c>
      <x:c r="F30" s="80" t="n">
        <x:f>SUMIF('Данные_месяцы'!$B$2:$B$301,A30,'Данные_месяцы'!$K$2:$K$301)</x:f>
        <x:v>88</x:v>
      </x:c>
      <x:c r="G30" s="84" t="n">
        <x:f>IFERROR(F30/D30,0)</x:f>
        <x:v>0.4607329842931937</x:v>
      </x:c>
      <x:c r="H30" s="80" t="n">
        <x:f>SUMIF('Данные_месяцы'!$B$2:$B$301,A30,'Данные_месяцы'!$S$2:$S$301)</x:f>
        <x:v>219478.1992740306</x:v>
      </x:c>
      <x:c r="I30" s="80" t="n">
        <x:f>SUMIF('Данные_месяцы'!$B$2:$B$301,A30,'Данные_месяцы'!$Q$2:$Q$301)</x:f>
        <x:v>71889.62449018465</x:v>
      </x:c>
      <x:c r="J30" s="88" t="n">
        <x:f>IFERROR(H30/I30,0)</x:f>
        <x:v>3.052988533887762</x:v>
      </x:c>
      <x:c r="K30" s="80" t="n">
        <x:f>SUMIF('Данные_месяцы'!$B$2:$B$301,A30,'Данные_месяцы'!$M$2:$M$301)</x:f>
        <x:v>20988.220016029773</x:v>
      </x:c>
      <x:c r="L30" s="80" t="n">
        <x:f>SUMIF('Данные_месяцы'!$B$2:$B$301,A30,'Данные_месяцы'!$N$2:$N$301)</x:f>
        <x:v>7551.0848406842715</x:v>
      </x:c>
      <x:c r="M30" s="80" t="n">
        <x:f>SUMIF('Данные_месяцы'!$B$2:$B$301,A30,'Данные_месяцы'!$O$2:$O$301)</x:f>
        <x:v>2990.6310796529533</x:v>
      </x:c>
      <x:c r="N30" s="80" t="n">
        <x:f>SUMIF('Данные_месяцы'!$B$2:$B$301,A30,'Данные_месяцы'!$P$2:$P$301)</x:f>
        <x:v>177.25172637488802</x:v>
      </x:c>
      <x:c r="O30" s="80" t="n">
        <x:f>SUMIF('Данные_месяцы'!$B$2:$B$301,A30,'Данные_месяцы'!$U$2:$U$301)</x:f>
        <x:v>106376.69410683842</x:v>
      </x:c>
      <x:c r="P30" s="80" t="n">
        <x:f>SUMIF('Данные_месяцы'!$B$2:$B$301,A30,'Данные_месяцы'!$V$2:$V$301)</x:f>
        <x:v>-35973.20234520312</x:v>
      </x:c>
      <x:c r="Q30" s="84" t="n">
        <x:f>IFERROR(P30/H30,0)</x:f>
        <x:v>-0.16390330549545196</x:v>
      </x:c>
      <x:c r="R30" s="76" t="str">
        <x:f>IF(P30&lt;0,"Убыточный",IF(Q30&lt;0.1,"Низкая маржа","Прибыльный"))</x:f>
        <x:v>Убыточный</x:v>
      </x:c>
    </x:row>
    <x:row r="31">
      <x:c r="A31" s="48" t="str">
        <x:v>UM-030</x:v>
      </x:c>
      <x:c r="B31" s="48" t="str">
        <x:v>Брюки со стрелками</x:v>
      </x:c>
      <x:c r="C31" s="48" t="str">
        <x:v>Брюки</x:v>
      </x:c>
      <x:c r="D31" s="80" t="n">
        <x:f>SUMIF('Данные_месяцы'!$B$2:$B$301,A31,'Данные_месяцы'!$I$2:$I$301)</x:f>
        <x:v>155</x:v>
      </x:c>
      <x:c r="E31" s="80" t="n">
        <x:f>SUMIF('Данные_месяцы'!$B$2:$B$301,A31,'Данные_месяцы'!$J$2:$J$301)</x:f>
        <x:v>58</x:v>
      </x:c>
      <x:c r="F31" s="80" t="n">
        <x:f>SUMIF('Данные_месяцы'!$B$2:$B$301,A31,'Данные_месяцы'!$K$2:$K$301)</x:f>
        <x:v>97</x:v>
      </x:c>
      <x:c r="G31" s="84" t="n">
        <x:f>IFERROR(F31/D31,0)</x:f>
        <x:v>0.6258064516129033</x:v>
      </x:c>
      <x:c r="H31" s="80" t="n">
        <x:f>SUMIF('Данные_месяцы'!$B$2:$B$301,A31,'Данные_месяцы'!$S$2:$S$301)</x:f>
        <x:v>201559.27203692176</x:v>
      </x:c>
      <x:c r="I31" s="80" t="n">
        <x:f>SUMIF('Данные_месяцы'!$B$2:$B$301,A31,'Данные_месяцы'!$Q$2:$Q$301)</x:f>
        <x:v>15384.807145326018</x:v>
      </x:c>
      <x:c r="J31" s="88" t="n">
        <x:f>IFERROR(H31/I31,0)</x:f>
        <x:v>13.101189383329805</x:v>
      </x:c>
      <x:c r="K31" s="80" t="n">
        <x:f>SUMIF('Данные_месяцы'!$B$2:$B$301,A31,'Данные_месяцы'!$M$2:$M$301)</x:f>
        <x:v>14260.879487253056</x:v>
      </x:c>
      <x:c r="L31" s="80" t="n">
        <x:f>SUMIF('Данные_месяцы'!$B$2:$B$301,A31,'Данные_месяцы'!$N$2:$N$301)</x:f>
        <x:v>4118.975679702546</x:v>
      </x:c>
      <x:c r="M31" s="80" t="n">
        <x:f>SUMIF('Данные_месяцы'!$B$2:$B$301,A31,'Данные_месяцы'!$O$2:$O$301)</x:f>
        <x:v>2637.453565148361</x:v>
      </x:c>
      <x:c r="N31" s="80" t="n">
        <x:f>SUMIF('Данные_месяцы'!$B$2:$B$301,A31,'Данные_месяцы'!$P$2:$P$301)</x:f>
        <x:v>141.93989982668944</x:v>
      </x:c>
      <x:c r="O31" s="80" t="n">
        <x:f>SUMIF('Данные_месяцы'!$B$2:$B$301,A31,'Данные_месяцы'!$U$2:$U$301)</x:f>
        <x:v>72157.99047296669</x:v>
      </x:c>
      <x:c r="P31" s="80" t="n">
        <x:f>SUMIF('Данные_месяцы'!$B$2:$B$301,A31,'Данные_месяцы'!$V$2:$V$301)</x:f>
        <x:v>51795.96320705053</x:v>
      </x:c>
      <x:c r="Q31" s="84" t="n">
        <x:f>IFERROR(P31/H31,0)</x:f>
        <x:v>0.2569763359611783</x:v>
      </x:c>
      <x:c r="R31" s="76" t="str">
        <x:f>IF(P31&lt;0,"Убыточный",IF(Q31&lt;0.1,"Низкая маржа","Прибыльный"))</x:f>
        <x:v>Прибыльный</x:v>
      </x:c>
    </x:row>
    <x:row r="32">
      <x:c r="A32" s="48" t="str">
        <x:v>UM-031</x:v>
      </x:c>
      <x:c r="B32" s="48" t="str">
        <x:v>Джоггеры</x:v>
      </x:c>
      <x:c r="C32" s="48" t="str">
        <x:v>Брюки</x:v>
      </x:c>
      <x:c r="D32" s="80" t="n">
        <x:f>SUMIF('Данные_месяцы'!$B$2:$B$301,A32,'Данные_месяцы'!$I$2:$I$301)</x:f>
        <x:v>303</x:v>
      </x:c>
      <x:c r="E32" s="80" t="n">
        <x:f>SUMIF('Данные_месяцы'!$B$2:$B$301,A32,'Данные_месяцы'!$J$2:$J$301)</x:f>
        <x:v>114</x:v>
      </x:c>
      <x:c r="F32" s="80" t="n">
        <x:f>SUMIF('Данные_месяцы'!$B$2:$B$301,A32,'Данные_месяцы'!$K$2:$K$301)</x:f>
        <x:v>189</x:v>
      </x:c>
      <x:c r="G32" s="84" t="n">
        <x:f>IFERROR(F32/D32,0)</x:f>
        <x:v>0.6237623762376238</x:v>
      </x:c>
      <x:c r="H32" s="80" t="n">
        <x:f>SUMIF('Данные_месяцы'!$B$2:$B$301,A32,'Данные_месяцы'!$S$2:$S$301)</x:f>
        <x:v>532140.7282012076</x:v>
      </x:c>
      <x:c r="I32" s="80" t="n">
        <x:f>SUMIF('Данные_месяцы'!$B$2:$B$301,A32,'Данные_месяцы'!$Q$2:$Q$301)</x:f>
        <x:v>24935.589465938116</x:v>
      </x:c>
      <x:c r="J32" s="88" t="n">
        <x:f>IFERROR(H32/I32,0)</x:f>
        <x:v>21.340611535496645</x:v>
      </x:c>
      <x:c r="K32" s="80" t="n">
        <x:f>SUMIF('Данные_месяцы'!$B$2:$B$301,A32,'Данные_месяцы'!$M$2:$M$301)</x:f>
        <x:v>29452.856015753154</x:v>
      </x:c>
      <x:c r="L32" s="80" t="n">
        <x:f>SUMIF('Данные_месяцы'!$B$2:$B$301,A32,'Данные_месяцы'!$N$2:$N$301)</x:f>
        <x:v>8109.24638897291</x:v>
      </x:c>
      <x:c r="M32" s="80" t="n">
        <x:f>SUMIF('Данные_месяцы'!$B$2:$B$301,A32,'Данные_месяцы'!$O$2:$O$301)</x:f>
        <x:v>5215.360484591943</x:v>
      </x:c>
      <x:c r="N32" s="80" t="n">
        <x:f>SUMIF('Данные_месяцы'!$B$2:$B$301,A32,'Данные_месяцы'!$P$2:$P$301)</x:f>
        <x:v>0</x:v>
      </x:c>
      <x:c r="O32" s="80" t="n">
        <x:f>SUMIF('Данные_месяцы'!$B$2:$B$301,A32,'Данные_месяцы'!$U$2:$U$301)</x:f>
        <x:v>211131.46476267042</x:v>
      </x:c>
      <x:c r="P32" s="80" t="n">
        <x:f>SUMIF('Данные_месяцы'!$B$2:$B$301,A32,'Данные_месяцы'!$V$2:$V$301)</x:f>
        <x:v>144186.47552507068</x:v>
      </x:c>
      <x:c r="Q32" s="84" t="n">
        <x:f>IFERROR(P32/H32,0)</x:f>
        <x:v>0.2709555346617866</x:v>
      </x:c>
      <x:c r="R32" s="76" t="str">
        <x:f>IF(P32&lt;0,"Убыточный",IF(Q32&lt;0.1,"Низкая маржа","Прибыльный"))</x:f>
        <x:v>Прибыльный</x:v>
      </x:c>
    </x:row>
    <x:row r="33">
      <x:c r="A33" s="48" t="str">
        <x:v>UM-032</x:v>
      </x:c>
      <x:c r="B33" s="48" t="str">
        <x:v>Зауженные офисные</x:v>
      </x:c>
      <x:c r="C33" s="48" t="str">
        <x:v>Брюки</x:v>
      </x:c>
      <x:c r="D33" s="80" t="n">
        <x:f>SUMIF('Данные_месяцы'!$B$2:$B$301,A33,'Данные_месяцы'!$I$2:$I$301)</x:f>
        <x:v>186</x:v>
      </x:c>
      <x:c r="E33" s="80" t="n">
        <x:f>SUMIF('Данные_месяцы'!$B$2:$B$301,A33,'Данные_месяцы'!$J$2:$J$301)</x:f>
        <x:v>80</x:v>
      </x:c>
      <x:c r="F33" s="80" t="n">
        <x:f>SUMIF('Данные_месяцы'!$B$2:$B$301,A33,'Данные_месяцы'!$K$2:$K$301)</x:f>
        <x:v>106</x:v>
      </x:c>
      <x:c r="G33" s="84" t="n">
        <x:f>IFERROR(F33/D33,0)</x:f>
        <x:v>0.5698924731182796</x:v>
      </x:c>
      <x:c r="H33" s="80" t="n">
        <x:f>SUMIF('Данные_месяцы'!$B$2:$B$301,A33,'Данные_месяцы'!$S$2:$S$301)</x:f>
        <x:v>181196.34783732405</x:v>
      </x:c>
      <x:c r="I33" s="80" t="n">
        <x:f>SUMIF('Данные_месяцы'!$B$2:$B$301,A33,'Данные_месяцы'!$Q$2:$Q$301)</x:f>
        <x:v>18072.611873179616</x:v>
      </x:c>
      <x:c r="J33" s="88" t="n">
        <x:f>IFERROR(H33/I33,0)</x:f>
        <x:v>10.026018879220537</x:v>
      </x:c>
      <x:c r="K33" s="80" t="n">
        <x:f>SUMIF('Данные_месяцы'!$B$2:$B$301,A33,'Данные_месяцы'!$M$2:$M$301)</x:f>
        <x:v>18681.66674072699</x:v>
      </x:c>
      <x:c r="L33" s="80" t="n">
        <x:f>SUMIF('Данные_месяцы'!$B$2:$B$301,A33,'Данные_месяцы'!$N$2:$N$301)</x:f>
        <x:v>5913.803402783104</x:v>
      </x:c>
      <x:c r="M33" s="80" t="n">
        <x:f>SUMIF('Данные_месяцы'!$B$2:$B$301,A33,'Данные_месяцы'!$O$2:$O$301)</x:f>
        <x:v>2892.1952245364155</x:v>
      </x:c>
      <x:c r="N33" s="80" t="n">
        <x:f>SUMIF('Данные_месяцы'!$B$2:$B$301,A33,'Данные_месяцы'!$P$2:$P$301)</x:f>
        <x:v>461.3516966500659</x:v>
      </x:c>
      <x:c r="O33" s="80" t="n">
        <x:f>SUMIF('Данные_месяцы'!$B$2:$B$301,A33,'Данные_месяцы'!$U$2:$U$301)</x:f>
        <x:v>84192.98656363311</x:v>
      </x:c>
      <x:c r="P33" s="80" t="n">
        <x:f>SUMIF('Данные_месяцы'!$B$2:$B$301,A33,'Данные_месяцы'!$V$2:$V$301)</x:f>
        <x:v>15267.852163071531</x:v>
      </x:c>
      <x:c r="Q33" s="84" t="n">
        <x:f>IFERROR(P33/H33,0)</x:f>
        <x:v>0.08426136809765519</x:v>
      </x:c>
      <x:c r="R33" s="76" t="str">
        <x:f>IF(P33&lt;0,"Убыточный",IF(Q33&lt;0.1,"Низкая маржа","Прибыльный"))</x:f>
        <x:v>Низкая маржа</x:v>
      </x:c>
    </x:row>
    <x:row r="34">
      <x:c r="A34" s="48" t="str">
        <x:v>UM-033</x:v>
      </x:c>
      <x:c r="B34" s="48" t="str">
        <x:v>Широкие костюмные</x:v>
      </x:c>
      <x:c r="C34" s="48" t="str">
        <x:v>Брюки</x:v>
      </x:c>
      <x:c r="D34" s="80" t="n">
        <x:f>SUMIF('Данные_месяцы'!$B$2:$B$301,A34,'Данные_месяцы'!$I$2:$I$301)</x:f>
        <x:v>250</x:v>
      </x:c>
      <x:c r="E34" s="80" t="n">
        <x:f>SUMIF('Данные_месяцы'!$B$2:$B$301,A34,'Данные_месяцы'!$J$2:$J$301)</x:f>
        <x:v>101</x:v>
      </x:c>
      <x:c r="F34" s="80" t="n">
        <x:f>SUMIF('Данные_месяцы'!$B$2:$B$301,A34,'Данные_месяцы'!$K$2:$K$301)</x:f>
        <x:v>149</x:v>
      </x:c>
      <x:c r="G34" s="84" t="n">
        <x:f>IFERROR(F34/D34,0)</x:f>
        <x:v>0.596</x:v>
      </x:c>
      <x:c r="H34" s="80" t="n">
        <x:f>SUMIF('Данные_месяцы'!$B$2:$B$301,A34,'Данные_месяцы'!$S$2:$S$301)</x:f>
        <x:v>296213.4444310837</x:v>
      </x:c>
      <x:c r="I34" s="80" t="n">
        <x:f>SUMIF('Данные_месяцы'!$B$2:$B$301,A34,'Данные_месяцы'!$Q$2:$Q$301)</x:f>
        <x:v>14555.130228222066</x:v>
      </x:c>
      <x:c r="J34" s="88" t="n">
        <x:f>IFERROR(H34/I34,0)</x:f>
        <x:v>20.351136663602816</x:v>
      </x:c>
      <x:c r="K34" s="80" t="n">
        <x:f>SUMIF('Данные_месяцы'!$B$2:$B$301,A34,'Данные_месяцы'!$M$2:$M$301)</x:f>
        <x:v>22853.68182733698</x:v>
      </x:c>
      <x:c r="L34" s="80" t="n">
        <x:f>SUMIF('Данные_месяцы'!$B$2:$B$301,A34,'Данные_месяцы'!$N$2:$N$301)</x:f>
        <x:v>7001.687173195426</x:v>
      </x:c>
      <x:c r="M34" s="80" t="n">
        <x:f>SUMIF('Данные_месяцы'!$B$2:$B$301,A34,'Данные_месяцы'!$O$2:$O$301)</x:f>
        <x:v>3321.176647226207</x:v>
      </x:c>
      <x:c r="N34" s="80" t="n">
        <x:f>SUMIF('Данные_месяцы'!$B$2:$B$301,A34,'Данные_месяцы'!$P$2:$P$301)</x:f>
        <x:v>0</x:v>
      </x:c>
      <x:c r="O34" s="80" t="n">
        <x:f>SUMIF('Данные_месяцы'!$B$2:$B$301,A34,'Данные_месяцы'!$U$2:$U$301)</x:f>
        <x:v>117956.01434736018</x:v>
      </x:c>
      <x:c r="P34" s="80" t="n">
        <x:f>SUMIF('Данные_месяцы'!$B$2:$B$301,A34,'Данные_месяцы'!$V$2:$V$301)</x:f>
        <x:v>70634.6159071355</x:v>
      </x:c>
      <x:c r="Q34" s="84" t="n">
        <x:f>IFERROR(P34/H34,0)</x:f>
        <x:v>0.2384585076575388</x:v>
      </x:c>
      <x:c r="R34" s="76" t="str">
        <x:f>IF(P34&lt;0,"Убыточный",IF(Q34&lt;0.1,"Низкая маржа","Прибыльный"))</x:f>
        <x:v>Прибыльный</x:v>
      </x:c>
    </x:row>
    <x:row r="35">
      <x:c r="A35" s="48" t="str">
        <x:v>UM-034</x:v>
      </x:c>
      <x:c r="B35" s="48" t="str">
        <x:v>Брюки из экокожи</x:v>
      </x:c>
      <x:c r="C35" s="48" t="str">
        <x:v>Брюки</x:v>
      </x:c>
      <x:c r="D35" s="80" t="n">
        <x:f>SUMIF('Данные_месяцы'!$B$2:$B$301,A35,'Данные_месяцы'!$I$2:$I$301)</x:f>
        <x:v>318</x:v>
      </x:c>
      <x:c r="E35" s="80" t="n">
        <x:f>SUMIF('Данные_месяцы'!$B$2:$B$301,A35,'Данные_месяцы'!$J$2:$J$301)</x:f>
        <x:v>122</x:v>
      </x:c>
      <x:c r="F35" s="80" t="n">
        <x:f>SUMIF('Данные_месяцы'!$B$2:$B$301,A35,'Данные_месяцы'!$K$2:$K$301)</x:f>
        <x:v>196</x:v>
      </x:c>
      <x:c r="G35" s="84" t="n">
        <x:f>IFERROR(F35/D35,0)</x:f>
        <x:v>0.6163522012578616</x:v>
      </x:c>
      <x:c r="H35" s="80" t="n">
        <x:f>SUMIF('Данные_месяцы'!$B$2:$B$301,A35,'Данные_месяцы'!$S$2:$S$301)</x:f>
        <x:v>425788.6951526074</x:v>
      </x:c>
      <x:c r="I35" s="80" t="n">
        <x:f>SUMIF('Данные_месяцы'!$B$2:$B$301,A35,'Данные_месяцы'!$Q$2:$Q$301)</x:f>
        <x:v>37905.965138025196</x:v>
      </x:c>
      <x:c r="J35" s="88" t="n">
        <x:f>IFERROR(H35/I35,0)</x:f>
        <x:v>11.23276227375304</x:v>
      </x:c>
      <x:c r="K35" s="80" t="n">
        <x:f>SUMIF('Данные_месяцы'!$B$2:$B$301,A35,'Данные_месяцы'!$M$2:$M$301)</x:f>
        <x:v>30511.517358318855</x:v>
      </x:c>
      <x:c r="L35" s="80" t="n">
        <x:f>SUMIF('Данные_месяцы'!$B$2:$B$301,A35,'Данные_месяцы'!$N$2:$N$301)</x:f>
        <x:v>8308.109811545297</x:v>
      </x:c>
      <x:c r="M35" s="80" t="n">
        <x:f>SUMIF('Данные_месяцы'!$B$2:$B$301,A35,'Данные_месяцы'!$O$2:$O$301)</x:f>
        <x:v>6876.767174092325</x:v>
      </x:c>
      <x:c r="N35" s="80" t="n">
        <x:f>SUMIF('Данные_месяцы'!$B$2:$B$301,A35,'Данные_месяцы'!$P$2:$P$301)</x:f>
        <x:v>32.17614677591284</x:v>
      </x:c>
      <x:c r="O35" s="80" t="n">
        <x:f>SUMIF('Данные_месяцы'!$B$2:$B$301,A35,'Данные_месяцы'!$U$2:$U$301)</x:f>
        <x:v>214204.54672663182</x:v>
      </x:c>
      <x:c r="P35" s="80" t="n">
        <x:f>SUMIF('Данные_месяцы'!$B$2:$B$301,A35,'Данные_месяцы'!$V$2:$V$301)</x:f>
        <x:v>39320.575205577545</x:v>
      </x:c>
      <x:c r="Q35" s="84" t="n">
        <x:f>IFERROR(P35/H35,0)</x:f>
        <x:v>0.09234762607185852</x:v>
      </x:c>
      <x:c r="R35" s="76" t="str">
        <x:f>IF(P35&lt;0,"Убыточный",IF(Q35&lt;0.1,"Низкая маржа","Прибыльный"))</x:f>
        <x:v>Низкая маржа</x:v>
      </x:c>
    </x:row>
    <x:row r="36">
      <x:c r="A36" s="48" t="str">
        <x:v>UM-035</x:v>
      </x:c>
      <x:c r="B36" s="48" t="str">
        <x:v>Водолазка</x:v>
      </x:c>
      <x:c r="C36" s="48" t="str">
        <x:v>Трикотаж</x:v>
      </x:c>
      <x:c r="D36" s="80" t="n">
        <x:f>SUMIF('Данные_месяцы'!$B$2:$B$301,A36,'Данные_месяцы'!$I$2:$I$301)</x:f>
        <x:v>320</x:v>
      </x:c>
      <x:c r="E36" s="80" t="n">
        <x:f>SUMIF('Данные_месяцы'!$B$2:$B$301,A36,'Данные_месяцы'!$J$2:$J$301)</x:f>
        <x:v>109</x:v>
      </x:c>
      <x:c r="F36" s="80" t="n">
        <x:f>SUMIF('Данные_месяцы'!$B$2:$B$301,A36,'Данные_месяцы'!$K$2:$K$301)</x:f>
        <x:v>211</x:v>
      </x:c>
      <x:c r="G36" s="84" t="n">
        <x:f>IFERROR(F36/D36,0)</x:f>
        <x:v>0.659375</x:v>
      </x:c>
      <x:c r="H36" s="80" t="n">
        <x:f>SUMIF('Данные_месяцы'!$B$2:$B$301,A36,'Данные_месяцы'!$S$2:$S$301)</x:f>
        <x:v>343630.59733837756</x:v>
      </x:c>
      <x:c r="I36" s="80" t="n">
        <x:f>SUMIF('Данные_месяцы'!$B$2:$B$301,A36,'Данные_месяцы'!$Q$2:$Q$301)</x:f>
        <x:v>27859.844925457717</x:v>
      </x:c>
      <x:c r="J36" s="88" t="n">
        <x:f>IFERROR(H36/I36,0)</x:f>
        <x:v>12.334260950044824</x:v>
      </x:c>
      <x:c r="K36" s="80" t="n">
        <x:f>SUMIF('Данные_месяцы'!$B$2:$B$301,A36,'Данные_месяцы'!$M$2:$M$301)</x:f>
        <x:v>32604.114309381355</x:v>
      </x:c>
      <x:c r="L36" s="80" t="n">
        <x:f>SUMIF('Данные_месяцы'!$B$2:$B$301,A36,'Данные_месяцы'!$N$2:$N$301)</x:f>
        <x:v>7948.78444549236</x:v>
      </x:c>
      <x:c r="M36" s="80" t="n">
        <x:f>SUMIF('Данные_месяцы'!$B$2:$B$301,A36,'Данные_месяцы'!$O$2:$O$301)</x:f>
        <x:v>4369.626228537257</x:v>
      </x:c>
      <x:c r="N36" s="80" t="n">
        <x:f>SUMIF('Данные_месяцы'!$B$2:$B$301,A36,'Данные_месяцы'!$P$2:$P$301)</x:f>
        <x:v>399.1852091804016</x:v>
      </x:c>
      <x:c r="O36" s="80" t="n">
        <x:f>SUMIF('Данные_месяцы'!$B$2:$B$301,A36,'Данные_месяцы'!$U$2:$U$301)</x:f>
        <x:v>155942.26505766177</x:v>
      </x:c>
      <x:c r="P36" s="80" t="n">
        <x:f>SUMIF('Данные_месяцы'!$B$2:$B$301,A36,'Данные_месяцы'!$V$2:$V$301)</x:f>
        <x:v>49855.28294230784</x:v>
      </x:c>
      <x:c r="Q36" s="84" t="n">
        <x:f>IFERROR(P36/H36,0)</x:f>
        <x:v>0.14508394575007733</x:v>
      </x:c>
      <x:c r="R36" s="76" t="str">
        <x:f>IF(P36&lt;0,"Убыточный",IF(Q36&lt;0.1,"Низкая маржа","Прибыльный"))</x:f>
        <x:v>Прибыльный</x:v>
      </x:c>
    </x:row>
    <x:row r="37">
      <x:c r="A37" s="48" t="str">
        <x:v>UM-036</x:v>
      </x:c>
      <x:c r="B37" s="48" t="str">
        <x:v>Кардиган</x:v>
      </x:c>
      <x:c r="C37" s="48" t="str">
        <x:v>Трикотаж</x:v>
      </x:c>
      <x:c r="D37" s="80" t="n">
        <x:f>SUMIF('Данные_месяцы'!$B$2:$B$301,A37,'Данные_месяцы'!$I$2:$I$301)</x:f>
        <x:v>242</x:v>
      </x:c>
      <x:c r="E37" s="80" t="n">
        <x:f>SUMIF('Данные_месяцы'!$B$2:$B$301,A37,'Данные_месяцы'!$J$2:$J$301)</x:f>
        <x:v>80</x:v>
      </x:c>
      <x:c r="F37" s="80" t="n">
        <x:f>SUMIF('Данные_месяцы'!$B$2:$B$301,A37,'Данные_месяцы'!$K$2:$K$301)</x:f>
        <x:v>162</x:v>
      </x:c>
      <x:c r="G37" s="84" t="n">
        <x:f>IFERROR(F37/D37,0)</x:f>
        <x:v>0.6694214876033058</x:v>
      </x:c>
      <x:c r="H37" s="80" t="n">
        <x:f>SUMIF('Данные_месяцы'!$B$2:$B$301,A37,'Данные_месяцы'!$S$2:$S$301)</x:f>
        <x:v>522664.83491983294</x:v>
      </x:c>
      <x:c r="I37" s="80" t="n">
        <x:f>SUMIF('Данные_месяцы'!$B$2:$B$301,A37,'Данные_месяцы'!$Q$2:$Q$301)</x:f>
        <x:v>49402.60383693618</x:v>
      </x:c>
      <x:c r="J37" s="88" t="n">
        <x:f>IFERROR(H37/I37,0)</x:f>
        <x:v>10.57970216802741</x:v>
      </x:c>
      <x:c r="K37" s="80" t="n">
        <x:f>SUMIF('Данные_месяцы'!$B$2:$B$301,A37,'Данные_месяцы'!$M$2:$M$301)</x:f>
        <x:v>21799.902473397884</x:v>
      </x:c>
      <x:c r="L37" s="80" t="n">
        <x:f>SUMIF('Данные_месяцы'!$B$2:$B$301,A37,'Данные_месяцы'!$N$2:$N$301)</x:f>
        <x:v>5426.853868205659</x:v>
      </x:c>
      <x:c r="M37" s="80" t="n">
        <x:f>SUMIF('Данные_месяцы'!$B$2:$B$301,A37,'Данные_месяцы'!$O$2:$O$301)</x:f>
        <x:v>3579.010519230257</x:v>
      </x:c>
      <x:c r="N37" s="80" t="n">
        <x:f>SUMIF('Данные_месяцы'!$B$2:$B$301,A37,'Данные_месяцы'!$P$2:$P$301)</x:f>
        <x:v>260.71186461769844</x:v>
      </x:c>
      <x:c r="O37" s="80" t="n">
        <x:f>SUMIF('Данные_месяцы'!$B$2:$B$301,A37,'Данные_месяцы'!$U$2:$U$301)</x:f>
        <x:v>227745.7217493936</x:v>
      </x:c>
      <x:c r="P37" s="80" t="n">
        <x:f>SUMIF('Данные_месяцы'!$B$2:$B$301,A37,'Данные_месяцы'!$V$2:$V$301)</x:f>
        <x:v>112579.58465954145</x:v>
      </x:c>
      <x:c r="Q37" s="84" t="n">
        <x:f>IFERROR(P37/H37,0)</x:f>
        <x:v>0.21539536838518908</x:v>
      </x:c>
      <x:c r="R37" s="76" t="str">
        <x:f>IF(P37&lt;0,"Убыточный",IF(Q37&lt;0.1,"Низкая маржа","Прибыльный"))</x:f>
        <x:v>Прибыльный</x:v>
      </x:c>
    </x:row>
    <x:row r="38">
      <x:c r="A38" s="48" t="str">
        <x:v>UM-037</x:v>
      </x:c>
      <x:c r="B38" s="48" t="str">
        <x:v>Джемпер oversize</x:v>
      </x:c>
      <x:c r="C38" s="48" t="str">
        <x:v>Трикотаж</x:v>
      </x:c>
      <x:c r="D38" s="80" t="n">
        <x:f>SUMIF('Данные_месяцы'!$B$2:$B$301,A38,'Данные_месяцы'!$I$2:$I$301)</x:f>
        <x:v>299</x:v>
      </x:c>
      <x:c r="E38" s="80" t="n">
        <x:f>SUMIF('Данные_месяцы'!$B$2:$B$301,A38,'Данные_месяцы'!$J$2:$J$301)</x:f>
        <x:v>123</x:v>
      </x:c>
      <x:c r="F38" s="80" t="n">
        <x:f>SUMIF('Данные_месяцы'!$B$2:$B$301,A38,'Данные_месяцы'!$K$2:$K$301)</x:f>
        <x:v>176</x:v>
      </x:c>
      <x:c r="G38" s="84" t="n">
        <x:f>IFERROR(F38/D38,0)</x:f>
        <x:v>0.5886287625418061</x:v>
      </x:c>
      <x:c r="H38" s="80" t="n">
        <x:f>SUMIF('Данные_месяцы'!$B$2:$B$301,A38,'Данные_месяцы'!$S$2:$S$301)</x:f>
        <x:v>460154.7650940562</x:v>
      </x:c>
      <x:c r="I38" s="80" t="n">
        <x:f>SUMIF('Данные_месяцы'!$B$2:$B$301,A38,'Данные_месяцы'!$Q$2:$Q$301)</x:f>
        <x:v>22643.05543867206</x:v>
      </x:c>
      <x:c r="J38" s="88" t="n">
        <x:f>IFERROR(H38/I38,0)</x:f>
        <x:v>20.32211449291239</x:v>
      </x:c>
      <x:c r="K38" s="80" t="n">
        <x:f>SUMIF('Данные_месяцы'!$B$2:$B$301,A38,'Данные_месяцы'!$M$2:$M$301)</x:f>
        <x:v>31688.53820716816</x:v>
      </x:c>
      <x:c r="L38" s="80" t="n">
        <x:f>SUMIF('Данные_месяцы'!$B$2:$B$301,A38,'Данные_месяцы'!$N$2:$N$301)</x:f>
        <x:v>8169.294493795065</x:v>
      </x:c>
      <x:c r="M38" s="80" t="n">
        <x:f>SUMIF('Данные_месяцы'!$B$2:$B$301,A38,'Данные_месяцы'!$O$2:$O$301)</x:f>
        <x:v>3948.7587019077437</x:v>
      </x:c>
      <x:c r="N38" s="80" t="n">
        <x:f>SUMIF('Данные_месяцы'!$B$2:$B$301,A38,'Данные_месяцы'!$P$2:$P$301)</x:f>
        <x:v>12.228584731378119</x:v>
      </x:c>
      <x:c r="O38" s="80" t="n">
        <x:f>SUMIF('Данные_месяцы'!$B$2:$B$301,A38,'Данные_месяцы'!$U$2:$U$301)</x:f>
        <x:v>173310.42005147942</x:v>
      </x:c>
      <x:c r="P38" s="80" t="n">
        <x:f>SUMIF('Данные_месяцы'!$B$2:$B$301,A38,'Данные_месяцы'!$V$2:$V$301)</x:f>
        <x:v>124403.43163629566</x:v>
      </x:c>
      <x:c r="Q38" s="84" t="n">
        <x:f>IFERROR(P38/H38,0)</x:f>
        <x:v>0.27035128411821935</x:v>
      </x:c>
      <x:c r="R38" s="76" t="str">
        <x:f>IF(P38&lt;0,"Убыточный",IF(Q38&lt;0.1,"Низкая маржа","Прибыльный"))</x:f>
        <x:v>Прибыльный</x:v>
      </x:c>
    </x:row>
    <x:row r="39">
      <x:c r="A39" s="48" t="str">
        <x:v>UM-038</x:v>
      </x:c>
      <x:c r="B39" s="48" t="str">
        <x:v>Свитер с воротом</x:v>
      </x:c>
      <x:c r="C39" s="48" t="str">
        <x:v>Трикотаж</x:v>
      </x:c>
      <x:c r="D39" s="80" t="n">
        <x:f>SUMIF('Данные_месяцы'!$B$2:$B$301,A39,'Данные_месяцы'!$I$2:$I$301)</x:f>
        <x:v>213</x:v>
      </x:c>
      <x:c r="E39" s="80" t="n">
        <x:f>SUMIF('Данные_месяцы'!$B$2:$B$301,A39,'Данные_месяцы'!$J$2:$J$301)</x:f>
        <x:v>82</x:v>
      </x:c>
      <x:c r="F39" s="80" t="n">
        <x:f>SUMIF('Данные_месяцы'!$B$2:$B$301,A39,'Данные_месяцы'!$K$2:$K$301)</x:f>
        <x:v>131</x:v>
      </x:c>
      <x:c r="G39" s="84" t="n">
        <x:f>IFERROR(F39/D39,0)</x:f>
        <x:v>0.6150234741784038</x:v>
      </x:c>
      <x:c r="H39" s="80" t="n">
        <x:f>SUMIF('Данные_месяцы'!$B$2:$B$301,A39,'Данные_месяцы'!$S$2:$S$301)</x:f>
        <x:v>391334.9725663678</x:v>
      </x:c>
      <x:c r="I39" s="80" t="n">
        <x:f>SUMIF('Данные_месяцы'!$B$2:$B$301,A39,'Данные_месяцы'!$Q$2:$Q$301)</x:f>
        <x:v>22913.826552358307</x:v>
      </x:c>
      <x:c r="J39" s="88" t="n">
        <x:f>IFERROR(H39/I39,0)</x:f>
        <x:v>17.078551750060768</x:v>
      </x:c>
      <x:c r="K39" s="80" t="n">
        <x:f>SUMIF('Данные_месяцы'!$B$2:$B$301,A39,'Данные_месяцы'!$M$2:$M$301)</x:f>
        <x:v>22401.54275114512</x:v>
      </x:c>
      <x:c r="L39" s="80" t="n">
        <x:f>SUMIF('Данные_месяцы'!$B$2:$B$301,A39,'Данные_месяцы'!$N$2:$N$301)</x:f>
        <x:v>5964.738640401844</x:v>
      </x:c>
      <x:c r="M39" s="80" t="n">
        <x:f>SUMIF('Данные_месяцы'!$B$2:$B$301,A39,'Данные_месяцы'!$O$2:$O$301)</x:f>
        <x:v>2487.713110477728</x:v>
      </x:c>
      <x:c r="N39" s="80" t="n">
        <x:f>SUMIF('Данные_месяцы'!$B$2:$B$301,A39,'Данные_месяцы'!$P$2:$P$301)</x:f>
        <x:v>381.94412783046937</x:v>
      </x:c>
      <x:c r="O39" s="80" t="n">
        <x:f>SUMIF('Данные_месяцы'!$B$2:$B$301,A39,'Данные_месяцы'!$U$2:$U$301)</x:f>
        <x:v>178834.76797370263</x:v>
      </x:c>
      <x:c r="P39" s="80" t="n">
        <x:f>SUMIF('Данные_месяцы'!$B$2:$B$301,A39,'Данные_месяцы'!$V$2:$V$301)</x:f>
        <x:v>85939.57018552392</x:v>
      </x:c>
      <x:c r="Q39" s="84" t="n">
        <x:f>IFERROR(P39/H39,0)</x:f>
        <x:v>0.21960615894340782</x:v>
      </x:c>
      <x:c r="R39" s="76" t="str">
        <x:f>IF(P39&lt;0,"Убыточный",IF(Q39&lt;0.1,"Низкая маржа","Прибыльный"))</x:f>
        <x:v>Прибыльный</x:v>
      </x:c>
    </x:row>
    <x:row r="40">
      <x:c r="A40" s="48" t="str">
        <x:v>UM-039</x:v>
      </x:c>
      <x:c r="B40" s="48" t="str">
        <x:v>Трикотажный топ</x:v>
      </x:c>
      <x:c r="C40" s="48" t="str">
        <x:v>Трикотаж</x:v>
      </x:c>
      <x:c r="D40" s="80" t="n">
        <x:f>SUMIF('Данные_месяцы'!$B$2:$B$301,A40,'Данные_месяцы'!$I$2:$I$301)</x:f>
        <x:v>148</x:v>
      </x:c>
      <x:c r="E40" s="80" t="n">
        <x:f>SUMIF('Данные_месяцы'!$B$2:$B$301,A40,'Данные_месяцы'!$J$2:$J$301)</x:f>
        <x:v>52</x:v>
      </x:c>
      <x:c r="F40" s="80" t="n">
        <x:f>SUMIF('Данные_месяцы'!$B$2:$B$301,A40,'Данные_месяцы'!$K$2:$K$301)</x:f>
        <x:v>96</x:v>
      </x:c>
      <x:c r="G40" s="84" t="n">
        <x:f>IFERROR(F40/D40,0)</x:f>
        <x:v>0.6486486486486487</x:v>
      </x:c>
      <x:c r="H40" s="80" t="n">
        <x:f>SUMIF('Данные_месяцы'!$B$2:$B$301,A40,'Данные_месяцы'!$S$2:$S$301)</x:f>
        <x:v>216441.39509957994</x:v>
      </x:c>
      <x:c r="I40" s="80" t="n">
        <x:f>SUMIF('Данные_месяцы'!$B$2:$B$301,A40,'Данные_месяцы'!$Q$2:$Q$301)</x:f>
        <x:v>11559.212033919179</x:v>
      </x:c>
      <x:c r="J40" s="88" t="n">
        <x:f>IFERROR(H40/I40,0)</x:f>
        <x:v>18.72458040084891</x:v>
      </x:c>
      <x:c r="K40" s="80" t="n">
        <x:f>SUMIF('Данные_месяцы'!$B$2:$B$301,A40,'Данные_месяцы'!$M$2:$M$301)</x:f>
        <x:v>14886.57233794529</x:v>
      </x:c>
      <x:c r="L40" s="80" t="n">
        <x:f>SUMIF('Данные_месяцы'!$B$2:$B$301,A40,'Данные_месяцы'!$N$2:$N$301)</x:f>
        <x:v>3257.012702501938</x:v>
      </x:c>
      <x:c r="M40" s="80" t="n">
        <x:f>SUMIF('Данные_месяцы'!$B$2:$B$301,A40,'Данные_месяцы'!$O$2:$O$301)</x:f>
        <x:v>2057.527551450387</x:v>
      </x:c>
      <x:c r="N40" s="80" t="n">
        <x:f>SUMIF('Данные_месяцы'!$B$2:$B$301,A40,'Данные_месяцы'!$P$2:$P$301)</x:f>
        <x:v>167.69420264790398</x:v>
      </x:c>
      <x:c r="O40" s="80" t="n">
        <x:f>SUMIF('Данные_месяцы'!$B$2:$B$301,A40,'Данные_месяцы'!$U$2:$U$301)</x:f>
        <x:v>76301.24749358969</x:v>
      </x:c>
      <x:c r="P40" s="80" t="n">
        <x:f>SUMIF('Данные_месяцы'!$B$2:$B$301,A40,'Данные_месяцы'!$V$2:$V$301)</x:f>
        <x:v>68833.03257214432</x:v>
      </x:c>
      <x:c r="Q40" s="84" t="n">
        <x:f>IFERROR(P40/H40,0)</x:f>
        <x:v>0.31802157133794</x:v>
      </x:c>
      <x:c r="R40" s="76" t="str">
        <x:f>IF(P40&lt;0,"Убыточный",IF(Q40&lt;0.1,"Низкая маржа","Прибыльный"))</x:f>
        <x:v>Прибыльный</x:v>
      </x:c>
    </x:row>
    <x:row r="41">
      <x:c r="A41" s="48" t="str">
        <x:v>UM-040</x:v>
      </x:c>
      <x:c r="B41" s="48" t="str">
        <x:v>Пуловер V-neck</x:v>
      </x:c>
      <x:c r="C41" s="48" t="str">
        <x:v>Трикотаж</x:v>
      </x:c>
      <x:c r="D41" s="80" t="n">
        <x:f>SUMIF('Данные_месяцы'!$B$2:$B$301,A41,'Данные_месяцы'!$I$2:$I$301)</x:f>
        <x:v>281</x:v>
      </x:c>
      <x:c r="E41" s="80" t="n">
        <x:f>SUMIF('Данные_месяцы'!$B$2:$B$301,A41,'Данные_месяцы'!$J$2:$J$301)</x:f>
        <x:v>67</x:v>
      </x:c>
      <x:c r="F41" s="80" t="n">
        <x:f>SUMIF('Данные_месяцы'!$B$2:$B$301,A41,'Данные_месяцы'!$K$2:$K$301)</x:f>
        <x:v>214</x:v>
      </x:c>
      <x:c r="G41" s="84" t="n">
        <x:f>IFERROR(F41/D41,0)</x:f>
        <x:v>0.7615658362989324</x:v>
      </x:c>
      <x:c r="H41" s="80" t="n">
        <x:f>SUMIF('Данные_месяцы'!$B$2:$B$301,A41,'Данные_месяцы'!$S$2:$S$301)</x:f>
        <x:v>571473.6380288241</x:v>
      </x:c>
      <x:c r="I41" s="80" t="n">
        <x:f>SUMIF('Данные_месяцы'!$B$2:$B$301,A41,'Данные_месяцы'!$Q$2:$Q$301)</x:f>
        <x:v>17331.741239395764</x:v>
      </x:c>
      <x:c r="J41" s="88" t="n">
        <x:f>IFERROR(H41/I41,0)</x:f>
        <x:v>32.97266155404172</x:v>
      </x:c>
      <x:c r="K41" s="80" t="n">
        <x:f>SUMIF('Данные_месяцы'!$B$2:$B$301,A41,'Данные_месяцы'!$M$2:$M$301)</x:f>
        <x:v>27433.153471218313</x:v>
      </x:c>
      <x:c r="L41" s="80" t="n">
        <x:f>SUMIF('Данные_месяцы'!$B$2:$B$301,A41,'Данные_месяцы'!$N$2:$N$301)</x:f>
        <x:v>4764.338638061305</x:v>
      </x:c>
      <x:c r="M41" s="80" t="n">
        <x:f>SUMIF('Данные_месяцы'!$B$2:$B$301,A41,'Данные_месяцы'!$O$2:$O$301)</x:f>
        <x:v>3964.6907449455875</x:v>
      </x:c>
      <x:c r="N41" s="80" t="n">
        <x:f>SUMIF('Данные_месяцы'!$B$2:$B$301,A41,'Данные_месяцы'!$P$2:$P$301)</x:f>
        <x:v>0</x:v>
      </x:c>
      <x:c r="O41" s="80" t="n">
        <x:f>SUMIF('Данные_месяцы'!$B$2:$B$301,A41,'Данные_месяцы'!$U$2:$U$301)</x:f>
        <x:v>244358.27883957676</x:v>
      </x:c>
      <x:c r="P41" s="80" t="n">
        <x:f>SUMIF('Данные_месяцы'!$B$2:$B$301,A41,'Данные_месяцы'!$V$2:$V$301)</x:f>
        <x:v>160664.85970511494</x:v>
      </x:c>
      <x:c r="Q41" s="84" t="n">
        <x:f>IFERROR(P41/H41,0)</x:f>
        <x:v>0.2811413318369224</x:v>
      </x:c>
      <x:c r="R41" s="76" t="str">
        <x:f>IF(P41&lt;0,"Убыточный",IF(Q41&lt;0.1,"Низкая маржа","Прибыльный"))</x:f>
        <x:v>Прибыльный</x:v>
      </x:c>
    </x:row>
    <x:row r="42">
      <x:c r="A42" s="48" t="str">
        <x:v>UM-041</x:v>
      </x:c>
      <x:c r="B42" s="48" t="str">
        <x:v>Жилет трикотажный</x:v>
      </x:c>
      <x:c r="C42" s="48" t="str">
        <x:v>Трикотаж</x:v>
      </x:c>
      <x:c r="D42" s="80" t="n">
        <x:f>SUMIF('Данные_месяцы'!$B$2:$B$301,A42,'Данные_месяцы'!$I$2:$I$301)</x:f>
        <x:v>205</x:v>
      </x:c>
      <x:c r="E42" s="80" t="n">
        <x:f>SUMIF('Данные_месяцы'!$B$2:$B$301,A42,'Данные_месяцы'!$J$2:$J$301)</x:f>
        <x:v>70</x:v>
      </x:c>
      <x:c r="F42" s="80" t="n">
        <x:f>SUMIF('Данные_месяцы'!$B$2:$B$301,A42,'Данные_месяцы'!$K$2:$K$301)</x:f>
        <x:v>135</x:v>
      </x:c>
      <x:c r="G42" s="84" t="n">
        <x:f>IFERROR(F42/D42,0)</x:f>
        <x:v>0.6585365853658537</x:v>
      </x:c>
      <x:c r="H42" s="80" t="n">
        <x:f>SUMIF('Данные_месяцы'!$B$2:$B$301,A42,'Данные_месяцы'!$S$2:$S$301)</x:f>
        <x:v>227597.23214070167</x:v>
      </x:c>
      <x:c r="I42" s="80" t="n">
        <x:f>SUMIF('Данные_месяцы'!$B$2:$B$301,A42,'Данные_месяцы'!$Q$2:$Q$301)</x:f>
        <x:v>9590.436894667906</x:v>
      </x:c>
      <x:c r="J42" s="88" t="n">
        <x:f>IFERROR(H42/I42,0)</x:f>
        <x:v>23.731685494666177</x:v>
      </x:c>
      <x:c r="K42" s="80" t="n">
        <x:f>SUMIF('Данные_месяцы'!$B$2:$B$301,A42,'Данные_месяцы'!$M$2:$M$301)</x:f>
        <x:v>19187.285362991726</x:v>
      </x:c>
      <x:c r="L42" s="80" t="n">
        <x:f>SUMIF('Данные_месяцы'!$B$2:$B$301,A42,'Данные_месяцы'!$N$2:$N$301)</x:f>
        <x:v>4502.548174201369</x:v>
      </x:c>
      <x:c r="M42" s="80" t="n">
        <x:f>SUMIF('Данные_месяцы'!$B$2:$B$301,A42,'Данные_месяцы'!$O$2:$O$301)</x:f>
        <x:v>2582.986959642415</x:v>
      </x:c>
      <x:c r="N42" s="80" t="n">
        <x:f>SUMIF('Данные_месяцы'!$B$2:$B$301,A42,'Данные_месяцы'!$P$2:$P$301)</x:f>
        <x:v>86.7663627595582</x:v>
      </x:c>
      <x:c r="O42" s="80" t="n">
        <x:f>SUMIF('Данные_месяцы'!$B$2:$B$301,A42,'Данные_месяцы'!$U$2:$U$301)</x:f>
        <x:v>84599.06051497154</x:v>
      </x:c>
      <x:c r="P42" s="80" t="n">
        <x:f>SUMIF('Данные_месяцы'!$B$2:$B$301,A42,'Данные_месяцы'!$V$2:$V$301)</x:f>
        <x:v>61530.26212056416</x:v>
      </x:c>
      <x:c r="Q42" s="84" t="n">
        <x:f>IFERROR(P42/H42,0)</x:f>
        <x:v>0.2703471458849986</x:v>
      </x:c>
      <x:c r="R42" s="76" t="str">
        <x:f>IF(P42&lt;0,"Убыточный",IF(Q42&lt;0.1,"Низкая маржа","Прибыльный"))</x:f>
        <x:v>Прибыльный</x:v>
      </x:c>
    </x:row>
    <x:row r="43">
      <x:c r="A43" s="48" t="str">
        <x:v>UM-042</x:v>
      </x:c>
      <x:c r="B43" s="48" t="str">
        <x:v>Лонгслив</x:v>
      </x:c>
      <x:c r="C43" s="48" t="str">
        <x:v>Трикотаж</x:v>
      </x:c>
      <x:c r="D43" s="80" t="n">
        <x:f>SUMIF('Данные_месяцы'!$B$2:$B$301,A43,'Данные_месяцы'!$I$2:$I$301)</x:f>
        <x:v>338</x:v>
      </x:c>
      <x:c r="E43" s="80" t="n">
        <x:f>SUMIF('Данные_месяцы'!$B$2:$B$301,A43,'Данные_месяцы'!$J$2:$J$301)</x:f>
        <x:v>115</x:v>
      </x:c>
      <x:c r="F43" s="80" t="n">
        <x:f>SUMIF('Данные_месяцы'!$B$2:$B$301,A43,'Данные_месяцы'!$K$2:$K$301)</x:f>
        <x:v>223</x:v>
      </x:c>
      <x:c r="G43" s="84" t="n">
        <x:f>IFERROR(F43/D43,0)</x:f>
        <x:v>0.6597633136094675</x:v>
      </x:c>
      <x:c r="H43" s="80" t="n">
        <x:f>SUMIF('Данные_месяцы'!$B$2:$B$301,A43,'Данные_месяцы'!$S$2:$S$301)</x:f>
        <x:v>499627.4843692641</x:v>
      </x:c>
      <x:c r="I43" s="80" t="n">
        <x:f>SUMIF('Данные_месяцы'!$B$2:$B$301,A43,'Данные_месяцы'!$Q$2:$Q$301)</x:f>
        <x:v>27107.807409703066</x:v>
      </x:c>
      <x:c r="J43" s="88" t="n">
        <x:f>IFERROR(H43/I43,0)</x:f>
        <x:v>18.431128597675727</x:v>
      </x:c>
      <x:c r="K43" s="80" t="n">
        <x:f>SUMIF('Данные_месяцы'!$B$2:$B$301,A43,'Данные_месяцы'!$M$2:$M$301)</x:f>
        <x:v>33345.29013567142</x:v>
      </x:c>
      <x:c r="L43" s="80" t="n">
        <x:f>SUMIF('Данные_месяцы'!$B$2:$B$301,A43,'Данные_месяцы'!$N$2:$N$301)</x:f>
        <x:v>7901.287704060474</x:v>
      </x:c>
      <x:c r="M43" s="80" t="n">
        <x:f>SUMIF('Данные_месяцы'!$B$2:$B$301,A43,'Данные_месяцы'!$O$2:$O$301)</x:f>
        <x:v>4248.1783137113225</x:v>
      </x:c>
      <x:c r="N43" s="80" t="n">
        <x:f>SUMIF('Данные_месяцы'!$B$2:$B$301,A43,'Данные_месяцы'!$P$2:$P$301)</x:f>
        <x:v>339.78772851495216</x:v>
      </x:c>
      <x:c r="O43" s="80" t="n">
        <x:f>SUMIF('Данные_месяцы'!$B$2:$B$301,A43,'Данные_месяцы'!$U$2:$U$301)</x:f>
        <x:v>188792.22036511035</x:v>
      </x:c>
      <x:c r="P43" s="80" t="n">
        <x:f>SUMIF('Данные_месяцы'!$B$2:$B$301,A43,'Данные_месяцы'!$V$2:$V$301)</x:f>
        <x:v>147051.31034414674</x:v>
      </x:c>
      <x:c r="Q43" s="84" t="n">
        <x:f>IFERROR(P43/H43,0)</x:f>
        <x:v>0.2943218997045091</x:v>
      </x:c>
      <x:c r="R43" s="76" t="str">
        <x:f>IF(P43&lt;0,"Убыточный",IF(Q43&lt;0.1,"Низкая маржа","Прибыльный"))</x:f>
        <x:v>Прибыльный</x:v>
      </x:c>
    </x:row>
    <x:row r="44">
      <x:c r="A44" s="48" t="str">
        <x:v>UM-043</x:v>
      </x:c>
      <x:c r="B44" s="48" t="str">
        <x:v>Пальто демисезонное</x:v>
      </x:c>
      <x:c r="C44" s="48" t="str">
        <x:v>Верхняя одежда</x:v>
      </x:c>
      <x:c r="D44" s="80" t="n">
        <x:f>SUMIF('Данные_месяцы'!$B$2:$B$301,A44,'Данные_месяцы'!$I$2:$I$301)</x:f>
        <x:v>470</x:v>
      </x:c>
      <x:c r="E44" s="80" t="n">
        <x:f>SUMIF('Данные_месяцы'!$B$2:$B$301,A44,'Данные_месяцы'!$J$2:$J$301)</x:f>
        <x:v>144</x:v>
      </x:c>
      <x:c r="F44" s="80" t="n">
        <x:f>SUMIF('Данные_месяцы'!$B$2:$B$301,A44,'Данные_месяцы'!$K$2:$K$301)</x:f>
        <x:v>326</x:v>
      </x:c>
      <x:c r="G44" s="84" t="n">
        <x:f>IFERROR(F44/D44,0)</x:f>
        <x:v>0.6936170212765957</x:v>
      </x:c>
      <x:c r="H44" s="80" t="n">
        <x:f>SUMIF('Данные_месяцы'!$B$2:$B$301,A44,'Данные_месяцы'!$S$2:$S$301)</x:f>
        <x:v>1497903.0004853278</x:v>
      </x:c>
      <x:c r="I44" s="80" t="n">
        <x:f>SUMIF('Данные_месяцы'!$B$2:$B$301,A44,'Данные_месяцы'!$Q$2:$Q$301)</x:f>
        <x:v>61373.77491946824</x:v>
      </x:c>
      <x:c r="J44" s="88" t="n">
        <x:f>IFERROR(H44/I44,0)</x:f>
        <x:v>24.40623869805638</x:v>
      </x:c>
      <x:c r="K44" s="80" t="n">
        <x:f>SUMIF('Данные_месяцы'!$B$2:$B$301,A44,'Данные_месяцы'!$M$2:$M$301)</x:f>
        <x:v>48096.292875481435</x:v>
      </x:c>
      <x:c r="L44" s="80" t="n">
        <x:f>SUMIF('Данные_месяцы'!$B$2:$B$301,A44,'Данные_месяцы'!$N$2:$N$301)</x:f>
        <x:v>10208.849668877427</x:v>
      </x:c>
      <x:c r="M44" s="80" t="n">
        <x:f>SUMIF('Данные_месяцы'!$B$2:$B$301,A44,'Данные_месяцы'!$O$2:$O$301)</x:f>
        <x:v>6404.178745495412</x:v>
      </x:c>
      <x:c r="N44" s="80" t="n">
        <x:f>SUMIF('Данные_месяцы'!$B$2:$B$301,A44,'Данные_месяцы'!$P$2:$P$301)</x:f>
        <x:v>618.5131616168154</x:v>
      </x:c>
      <x:c r="O44" s="80" t="n">
        <x:f>SUMIF('Данные_месяцы'!$B$2:$B$301,A44,'Данные_месяцы'!$U$2:$U$301)</x:f>
        <x:v>800198.5083691338</x:v>
      </x:c>
      <x:c r="P44" s="80" t="n">
        <x:f>SUMIF('Данные_месяцы'!$B$2:$B$301,A44,'Данные_месяцы'!$V$2:$V$301)</x:f>
        <x:v>260514.98150826537</x:v>
      </x:c>
      <x:c r="Q44" s="84" t="n">
        <x:f>IFERROR(P44/H44,0)</x:f>
        <x:v>0.1739197941547999</x:v>
      </x:c>
      <x:c r="R44" s="76" t="str">
        <x:f>IF(P44&lt;0,"Убыточный",IF(Q44&lt;0.1,"Низкая маржа","Прибыльный"))</x:f>
        <x:v>Прибыльный</x:v>
      </x:c>
    </x:row>
    <x:row r="45">
      <x:c r="A45" s="48" t="str">
        <x:v>UM-044</x:v>
      </x:c>
      <x:c r="B45" s="48" t="str">
        <x:v>Куртка стёганая</x:v>
      </x:c>
      <x:c r="C45" s="48" t="str">
        <x:v>Верхняя одежда</x:v>
      </x:c>
      <x:c r="D45" s="80" t="n">
        <x:f>SUMIF('Данные_месяцы'!$B$2:$B$301,A45,'Данные_месяцы'!$I$2:$I$301)</x:f>
        <x:v>356</x:v>
      </x:c>
      <x:c r="E45" s="80" t="n">
        <x:f>SUMIF('Данные_месяцы'!$B$2:$B$301,A45,'Данные_месяцы'!$J$2:$J$301)</x:f>
        <x:v>145</x:v>
      </x:c>
      <x:c r="F45" s="80" t="n">
        <x:f>SUMIF('Данные_месяцы'!$B$2:$B$301,A45,'Данные_месяцы'!$K$2:$K$301)</x:f>
        <x:v>211</x:v>
      </x:c>
      <x:c r="G45" s="84" t="n">
        <x:f>IFERROR(F45/D45,0)</x:f>
        <x:v>0.5926966292134831</x:v>
      </x:c>
      <x:c r="H45" s="80" t="n">
        <x:f>SUMIF('Данные_месяцы'!$B$2:$B$301,A45,'Данные_месяцы'!$S$2:$S$301)</x:f>
        <x:v>830893.4184639611</x:v>
      </x:c>
      <x:c r="I45" s="80" t="n">
        <x:f>SUMIF('Данные_месяцы'!$B$2:$B$301,A45,'Данные_месяцы'!$Q$2:$Q$301)</x:f>
        <x:v>70121.46717726244</x:v>
      </x:c>
      <x:c r="J45" s="88" t="n">
        <x:f>IFERROR(H45/I45,0)</x:f>
        <x:v>11.849344457718168</x:v>
      </x:c>
      <x:c r="K45" s="80" t="n">
        <x:f>SUMIF('Данные_месяцы'!$B$2:$B$301,A45,'Данные_месяцы'!$M$2:$M$301)</x:f>
        <x:v>36948.48306768692</x:v>
      </x:c>
      <x:c r="L45" s="80" t="n">
        <x:f>SUMIF('Данные_месяцы'!$B$2:$B$301,A45,'Данные_месяцы'!$N$2:$N$301)</x:f>
        <x:v>10630.455712464329</x:v>
      </x:c>
      <x:c r="M45" s="80" t="n">
        <x:f>SUMIF('Данные_месяцы'!$B$2:$B$301,A45,'Данные_месяцы'!$O$2:$O$301)</x:f>
        <x:v>4625.719883251104</x:v>
      </x:c>
      <x:c r="N45" s="80" t="n">
        <x:f>SUMIF('Данные_месяцы'!$B$2:$B$301,A45,'Данные_месяцы'!$P$2:$P$301)</x:f>
        <x:v>190.46256597617088</x:v>
      </x:c>
      <x:c r="O45" s="80" t="n">
        <x:f>SUMIF('Данные_месяцы'!$B$2:$B$301,A45,'Данные_месяцы'!$U$2:$U$301)</x:f>
        <x:v>370947.6522880729</x:v>
      </x:c>
      <x:c r="P45" s="80" t="n">
        <x:f>SUMIF('Данные_месяцы'!$B$2:$B$301,A45,'Данные_месяцы'!$V$2:$V$301)</x:f>
        <x:v>174409.5693028011</x:v>
      </x:c>
      <x:c r="Q45" s="84" t="n">
        <x:f>IFERROR(P45/H45,0)</x:f>
        <x:v>0.2099060666832877</x:v>
      </x:c>
      <x:c r="R45" s="76" t="str">
        <x:f>IF(P45&lt;0,"Убыточный",IF(Q45&lt;0.1,"Низкая маржа","Прибыльный"))</x:f>
        <x:v>Прибыльный</x:v>
      </x:c>
    </x:row>
    <x:row r="46">
      <x:c r="A46" s="48" t="str">
        <x:v>UM-045</x:v>
      </x:c>
      <x:c r="B46" s="48" t="str">
        <x:v>Тренч</x:v>
      </x:c>
      <x:c r="C46" s="48" t="str">
        <x:v>Верхняя одежда</x:v>
      </x:c>
      <x:c r="D46" s="80" t="n">
        <x:f>SUMIF('Данные_месяцы'!$B$2:$B$301,A46,'Данные_месяцы'!$I$2:$I$301)</x:f>
        <x:v>226</x:v>
      </x:c>
      <x:c r="E46" s="80" t="n">
        <x:f>SUMIF('Данные_месяцы'!$B$2:$B$301,A46,'Данные_месяцы'!$J$2:$J$301)</x:f>
        <x:v>117</x:v>
      </x:c>
      <x:c r="F46" s="80" t="n">
        <x:f>SUMIF('Данные_месяцы'!$B$2:$B$301,A46,'Данные_месяцы'!$K$2:$K$301)</x:f>
        <x:v>109</x:v>
      </x:c>
      <x:c r="G46" s="84" t="n">
        <x:f>IFERROR(F46/D46,0)</x:f>
        <x:v>0.4823008849557522</x:v>
      </x:c>
      <x:c r="H46" s="80" t="n">
        <x:f>SUMIF('Данные_месяцы'!$B$2:$B$301,A46,'Данные_месяцы'!$S$2:$S$301)</x:f>
        <x:v>484728.4140212965</x:v>
      </x:c>
      <x:c r="I46" s="80" t="n">
        <x:f>SUMIF('Данные_месяцы'!$B$2:$B$301,A46,'Данные_месяцы'!$Q$2:$Q$301)</x:f>
        <x:v>160865.6926478612</x:v>
      </x:c>
      <x:c r="J46" s="88" t="n">
        <x:f>IFERROR(H46/I46,0)</x:f>
        <x:v>3.0132491648320467</x:v>
      </x:c>
      <x:c r="K46" s="80" t="n">
        <x:f>SUMIF('Данные_месяцы'!$B$2:$B$301,A46,'Данные_месяцы'!$M$2:$M$301)</x:f>
        <x:v>23387.93547397472</x:v>
      </x:c>
      <x:c r="L46" s="80" t="n">
        <x:f>SUMIF('Данные_месяцы'!$B$2:$B$301,A46,'Данные_месяцы'!$N$2:$N$301)</x:f>
        <x:v>9004.496090068713</x:v>
      </x:c>
      <x:c r="M46" s="80" t="n">
        <x:f>SUMIF('Данные_месяцы'!$B$2:$B$301,A46,'Данные_месяцы'!$O$2:$O$301)</x:f>
        <x:v>3138.5363987405826</x:v>
      </x:c>
      <x:c r="N46" s="80" t="n">
        <x:f>SUMIF('Данные_месяцы'!$B$2:$B$301,A46,'Данные_месяцы'!$P$2:$P$301)</x:f>
        <x:v>9.087133831564678</x:v>
      </x:c>
      <x:c r="O46" s="80" t="n">
        <x:f>SUMIF('Данные_месяцы'!$B$2:$B$301,A46,'Данные_месяцы'!$U$2:$U$301)</x:f>
        <x:v>229953.4176507234</x:v>
      </x:c>
      <x:c r="P46" s="80" t="n">
        <x:f>SUMIF('Данные_месяцы'!$B$2:$B$301,A46,'Данные_месяцы'!$V$2:$V$301)</x:f>
        <x:v>-32827.52994249268</x:v>
      </x:c>
      <x:c r="Q46" s="84" t="n">
        <x:f>IFERROR(P46/H46,0)</x:f>
        <x:v>-0.06772355197863521</x:v>
      </x:c>
      <x:c r="R46" s="76" t="str">
        <x:f>IF(P46&lt;0,"Убыточный",IF(Q46&lt;0.1,"Низкая маржа","Прибыльный"))</x:f>
        <x:v>Убыточный</x:v>
      </x:c>
    </x:row>
    <x:row r="47">
      <x:c r="A47" s="48" t="str">
        <x:v>UM-046</x:v>
      </x:c>
      <x:c r="B47" s="48" t="str">
        <x:v>Экопуховик</x:v>
      </x:c>
      <x:c r="C47" s="48" t="str">
        <x:v>Верхняя одежда</x:v>
      </x:c>
      <x:c r="D47" s="80" t="n">
        <x:f>SUMIF('Данные_месяцы'!$B$2:$B$301,A47,'Данные_месяцы'!$I$2:$I$301)</x:f>
        <x:v>197</x:v>
      </x:c>
      <x:c r="E47" s="80" t="n">
        <x:f>SUMIF('Данные_месяцы'!$B$2:$B$301,A47,'Данные_месяцы'!$J$2:$J$301)</x:f>
        <x:v>81</x:v>
      </x:c>
      <x:c r="F47" s="80" t="n">
        <x:f>SUMIF('Данные_месяцы'!$B$2:$B$301,A47,'Данные_месяцы'!$K$2:$K$301)</x:f>
        <x:v>116</x:v>
      </x:c>
      <x:c r="G47" s="84" t="n">
        <x:f>IFERROR(F47/D47,0)</x:f>
        <x:v>0.5888324873096447</x:v>
      </x:c>
      <x:c r="H47" s="80" t="n">
        <x:f>SUMIF('Данные_месяцы'!$B$2:$B$301,A47,'Данные_месяцы'!$S$2:$S$301)</x:f>
        <x:v>509221.7360775287</x:v>
      </x:c>
      <x:c r="I47" s="80" t="n">
        <x:f>SUMIF('Данные_месяцы'!$B$2:$B$301,A47,'Данные_месяцы'!$Q$2:$Q$301)</x:f>
        <x:v>39264.81514022245</x:v>
      </x:c>
      <x:c r="J47" s="88" t="n">
        <x:f>IFERROR(H47/I47,0)</x:f>
        <x:v>12.968907003865848</x:v>
      </x:c>
      <x:c r="K47" s="80" t="n">
        <x:f>SUMIF('Данные_месяцы'!$B$2:$B$301,A47,'Данные_месяцы'!$M$2:$M$301)</x:f>
        <x:v>20073.838346026685</x:v>
      </x:c>
      <x:c r="L47" s="80" t="n">
        <x:f>SUMIF('Данные_месяцы'!$B$2:$B$301,A47,'Данные_месяцы'!$N$2:$N$301)</x:f>
        <x:v>5769.409179738847</x:v>
      </x:c>
      <x:c r="M47" s="80" t="n">
        <x:f>SUMIF('Данные_месяцы'!$B$2:$B$301,A47,'Данные_месяцы'!$O$2:$O$301)</x:f>
        <x:v>2913.683871844247</x:v>
      </x:c>
      <x:c r="N47" s="80" t="n">
        <x:f>SUMIF('Данные_месяцы'!$B$2:$B$301,A47,'Данные_месяцы'!$P$2:$P$301)</x:f>
        <x:v>60.86765137384801</x:v>
      </x:c>
      <x:c r="O47" s="80" t="n">
        <x:f>SUMIF('Данные_месяцы'!$B$2:$B$301,A47,'Данные_месяцы'!$U$2:$U$301)</x:f>
        <x:v>232933.62000185656</x:v>
      </x:c>
      <x:c r="P47" s="80" t="n">
        <x:f>SUMIF('Данные_месяцы'!$B$2:$B$301,A47,'Данные_месяцы'!$V$2:$V$301)</x:f>
        <x:v>99634.32156685907</x:v>
      </x:c>
      <x:c r="Q47" s="84" t="n">
        <x:f>IFERROR(P47/H47,0)</x:f>
        <x:v>0.19565999349189173</x:v>
      </x:c>
      <x:c r="R47" s="76" t="str">
        <x:f>IF(P47&lt;0,"Убыточный",IF(Q47&lt;0.1,"Низкая маржа","Прибыльный"))</x:f>
        <x:v>Прибыльный</x:v>
      </x:c>
    </x:row>
    <x:row r="48">
      <x:c r="A48" s="48" t="str">
        <x:v>UM-047</x:v>
      </x:c>
      <x:c r="B48" s="48" t="str">
        <x:v>Косуха</x:v>
      </x:c>
      <x:c r="C48" s="48" t="str">
        <x:v>Верхняя одежда</x:v>
      </x:c>
      <x:c r="D48" s="80" t="n">
        <x:f>SUMIF('Данные_месяцы'!$B$2:$B$301,A48,'Данные_месяцы'!$I$2:$I$301)</x:f>
        <x:v>281</x:v>
      </x:c>
      <x:c r="E48" s="80" t="n">
        <x:f>SUMIF('Данные_месяцы'!$B$2:$B$301,A48,'Данные_месяцы'!$J$2:$J$301)</x:f>
        <x:v>167</x:v>
      </x:c>
      <x:c r="F48" s="80" t="n">
        <x:f>SUMIF('Данные_месяцы'!$B$2:$B$301,A48,'Данные_месяцы'!$K$2:$K$301)</x:f>
        <x:v>114</x:v>
      </x:c>
      <x:c r="G48" s="84" t="n">
        <x:f>IFERROR(F48/D48,0)</x:f>
        <x:v>0.40569395017793597</x:v>
      </x:c>
      <x:c r="H48" s="80" t="n">
        <x:f>SUMIF('Данные_месяцы'!$B$2:$B$301,A48,'Данные_месяцы'!$S$2:$S$301)</x:f>
        <x:v>484748.91577095416</x:v>
      </x:c>
      <x:c r="I48" s="80" t="n">
        <x:f>SUMIF('Данные_месяцы'!$B$2:$B$301,A48,'Данные_месяцы'!$Q$2:$Q$301)</x:f>
        <x:v>102561.05960795461</x:v>
      </x:c>
      <x:c r="J48" s="88" t="n">
        <x:f>IFERROR(H48/I48,0)</x:f>
        <x:v>4.726442156739936</x:v>
      </x:c>
      <x:c r="K48" s="80" t="n">
        <x:f>SUMIF('Данные_месяцы'!$B$2:$B$301,A48,'Данные_месяцы'!$M$2:$M$301)</x:f>
        <x:v>28156.98770646715</x:v>
      </x:c>
      <x:c r="L48" s="80" t="n">
        <x:f>SUMIF('Данные_месяцы'!$B$2:$B$301,A48,'Данные_месяцы'!$N$2:$N$301)</x:f>
        <x:v>11750.244654151906</x:v>
      </x:c>
      <x:c r="M48" s="80" t="n">
        <x:f>SUMIF('Данные_месяцы'!$B$2:$B$301,A48,'Данные_месяцы'!$O$2:$O$301)</x:f>
        <x:v>4710.385963738359</x:v>
      </x:c>
      <x:c r="N48" s="80" t="n">
        <x:f>SUMIF('Данные_месяцы'!$B$2:$B$301,A48,'Данные_месяцы'!$P$2:$P$301)</x:f>
        <x:v>239.85091785688786</x:v>
      </x:c>
      <x:c r="O48" s="80" t="n">
        <x:f>SUMIF('Данные_месяцы'!$B$2:$B$301,A48,'Данные_месяцы'!$U$2:$U$301)</x:f>
        <x:v>286324.71731889906</x:v>
      </x:c>
      <x:c r="P48" s="80" t="n">
        <x:f>SUMIF('Данные_месяцы'!$B$2:$B$301,A48,'Данные_месяцы'!$V$2:$V$301)</x:f>
        <x:v>-49896.617562718195</x:v>
      </x:c>
      <x:c r="Q48" s="84" t="n">
        <x:f>IFERROR(P48/H48,0)</x:f>
        <x:v>-0.10293291215177168</x:v>
      </x:c>
      <x:c r="R48" s="76" t="str">
        <x:f>IF(P48&lt;0,"Убыточный",IF(Q48&lt;0.1,"Низкая маржа","Прибыльный"))</x:f>
        <x:v>Убыточный</x:v>
      </x:c>
    </x:row>
    <x:row r="49">
      <x:c r="A49" s="48" t="str">
        <x:v>UM-048</x:v>
      </x:c>
      <x:c r="B49" s="48" t="str">
        <x:v>Пальто-халат</x:v>
      </x:c>
      <x:c r="C49" s="48" t="str">
        <x:v>Верхняя одежда</x:v>
      </x:c>
      <x:c r="D49" s="80" t="n">
        <x:f>SUMIF('Данные_месяцы'!$B$2:$B$301,A49,'Данные_месяцы'!$I$2:$I$301)</x:f>
        <x:v>286</x:v>
      </x:c>
      <x:c r="E49" s="80" t="n">
        <x:f>SUMIF('Данные_месяцы'!$B$2:$B$301,A49,'Данные_месяцы'!$J$2:$J$301)</x:f>
        <x:v>120</x:v>
      </x:c>
      <x:c r="F49" s="80" t="n">
        <x:f>SUMIF('Данные_месяцы'!$B$2:$B$301,A49,'Данные_месяцы'!$K$2:$K$301)</x:f>
        <x:v>166</x:v>
      </x:c>
      <x:c r="G49" s="84" t="n">
        <x:f>IFERROR(F49/D49,0)</x:f>
        <x:v>0.5804195804195804</x:v>
      </x:c>
      <x:c r="H49" s="80" t="n">
        <x:f>SUMIF('Данные_месяцы'!$B$2:$B$301,A49,'Данные_месяцы'!$S$2:$S$301)</x:f>
        <x:v>661030.9306106165</x:v>
      </x:c>
      <x:c r="I49" s="80" t="n">
        <x:f>SUMIF('Данные_месяцы'!$B$2:$B$301,A49,'Данные_месяцы'!$Q$2:$Q$301)</x:f>
        <x:v>52380.98449535885</x:v>
      </x:c>
      <x:c r="J49" s="88" t="n">
        <x:f>IFERROR(H49/I49,0)</x:f>
        <x:v>12.619673665530023</x:v>
      </x:c>
      <x:c r="K49" s="80" t="n">
        <x:f>SUMIF('Данные_месяцы'!$B$2:$B$301,A49,'Данные_месяцы'!$M$2:$M$301)</x:f>
        <x:v>26200.566831439624</x:v>
      </x:c>
      <x:c r="L49" s="80" t="n">
        <x:f>SUMIF('Данные_месяцы'!$B$2:$B$301,A49,'Данные_месяцы'!$N$2:$N$301)</x:f>
        <x:v>8519.984243548446</x:v>
      </x:c>
      <x:c r="M49" s="80" t="n">
        <x:f>SUMIF('Данные_месяцы'!$B$2:$B$301,A49,'Данные_месяцы'!$O$2:$O$301)</x:f>
        <x:v>4056.087714643144</x:v>
      </x:c>
      <x:c r="N49" s="80" t="n">
        <x:f>SUMIF('Данные_месяцы'!$B$2:$B$301,A49,'Данные_месяцы'!$P$2:$P$301)</x:f>
        <x:v>127.96675488782941</x:v>
      </x:c>
      <x:c r="O49" s="80" t="n">
        <x:f>SUMIF('Данные_месяцы'!$B$2:$B$301,A49,'Данные_месяцы'!$U$2:$U$301)</x:f>
        <x:v>273570.63717236015</x:v>
      </x:c>
      <x:c r="P49" s="80" t="n">
        <x:f>SUMIF('Данные_месяцы'!$B$2:$B$301,A49,'Данные_месяцы'!$V$2:$V$301)</x:f>
        <x:v>157275.4684529255</x:v>
      </x:c>
      <x:c r="Q49" s="84" t="n">
        <x:f>IFERROR(P49/H49,0)</x:f>
        <x:v>0.23792452239359643</x:v>
      </x:c>
      <x:c r="R49" s="76" t="str">
        <x:f>IF(P49&lt;0,"Убыточный",IF(Q49&lt;0.1,"Низкая маржа","Прибыльный"))</x:f>
        <x:v>Прибыльный</x:v>
      </x:c>
    </x:row>
    <x:row r="50">
      <x:c r="A50" s="48" t="str">
        <x:v>UM-049</x:v>
      </x:c>
      <x:c r="B50" s="48" t="str">
        <x:v>Бомбер</x:v>
      </x:c>
      <x:c r="C50" s="48" t="str">
        <x:v>Верхняя одежда</x:v>
      </x:c>
      <x:c r="D50" s="80" t="n">
        <x:f>SUMIF('Данные_месяцы'!$B$2:$B$301,A50,'Данные_месяцы'!$I$2:$I$301)</x:f>
        <x:v>367</x:v>
      </x:c>
      <x:c r="E50" s="80" t="n">
        <x:f>SUMIF('Данные_месяцы'!$B$2:$B$301,A50,'Данные_месяцы'!$J$2:$J$301)</x:f>
        <x:v>138</x:v>
      </x:c>
      <x:c r="F50" s="80" t="n">
        <x:f>SUMIF('Данные_месяцы'!$B$2:$B$301,A50,'Данные_месяцы'!$K$2:$K$301)</x:f>
        <x:v>229</x:v>
      </x:c>
      <x:c r="G50" s="84" t="n">
        <x:f>IFERROR(F50/D50,0)</x:f>
        <x:v>0.6239782016348774</x:v>
      </x:c>
      <x:c r="H50" s="80" t="n">
        <x:f>SUMIF('Данные_месяцы'!$B$2:$B$301,A50,'Данные_месяцы'!$S$2:$S$301)</x:f>
        <x:v>850614.8527767016</x:v>
      </x:c>
      <x:c r="I50" s="80" t="n">
        <x:f>SUMIF('Данные_месяцы'!$B$2:$B$301,A50,'Данные_месяцы'!$Q$2:$Q$301)</x:f>
        <x:v>77908.8965640014</x:v>
      </x:c>
      <x:c r="J50" s="88" t="n">
        <x:f>IFERROR(H50/I50,0)</x:f>
        <x:v>10.918070853152562</x:v>
      </x:c>
      <x:c r="K50" s="80" t="n">
        <x:f>SUMIF('Данные_месяцы'!$B$2:$B$301,A50,'Данные_месяцы'!$M$2:$M$301)</x:f>
        <x:v>35102.482270966866</x:v>
      </x:c>
      <x:c r="L50" s="80" t="n">
        <x:f>SUMIF('Данные_месяцы'!$B$2:$B$301,A50,'Данные_месяцы'!$N$2:$N$301)</x:f>
        <x:v>9761.851664252048</x:v>
      </x:c>
      <x:c r="M50" s="80" t="n">
        <x:f>SUMIF('Данные_месяцы'!$B$2:$B$301,A50,'Данные_месяцы'!$O$2:$O$301)</x:f>
        <x:v>4664.109969402836</x:v>
      </x:c>
      <x:c r="N50" s="80" t="n">
        <x:f>SUMIF('Данные_месяцы'!$B$2:$B$301,A50,'Данные_месяцы'!$P$2:$P$301)</x:f>
        <x:v>149.45160056957872</x:v>
      </x:c>
      <x:c r="O50" s="80" t="n">
        <x:f>SUMIF('Данные_месяцы'!$B$2:$B$301,A50,'Данные_месяцы'!$U$2:$U$301)</x:f>
        <x:v>333589.74299700576</x:v>
      </x:c>
      <x:c r="P50" s="80" t="n">
        <x:f>SUMIF('Данные_месяцы'!$B$2:$B$301,A50,'Данные_месяцы'!$V$2:$V$301)</x:f>
        <x:v>232236.8012944158</x:v>
      </x:c>
      <x:c r="Q50" s="84" t="n">
        <x:f>IFERROR(P50/H50,0)</x:f>
        <x:v>0.2730222738720285</x:v>
      </x:c>
      <x:c r="R50" s="76" t="str">
        <x:f>IF(P50&lt;0,"Убыточный",IF(Q50&lt;0.1,"Низкая маржа","Прибыльный"))</x:f>
        <x:v>Прибыльный</x:v>
      </x:c>
    </x:row>
    <x:row r="51">
      <x:c r="A51" s="49" t="str">
        <x:v>UM-050</x:v>
      </x:c>
      <x:c r="B51" s="49" t="str">
        <x:v>Куртка-рубашка</x:v>
      </x:c>
      <x:c r="C51" s="49" t="str">
        <x:v>Верхняя одежда</x:v>
      </x:c>
      <x:c r="D51" s="81" t="n">
        <x:f>SUMIF('Данные_месяцы'!$B$2:$B$301,A51,'Данные_месяцы'!$I$2:$I$301)</x:f>
        <x:v>417</x:v>
      </x:c>
      <x:c r="E51" s="81" t="n">
        <x:f>SUMIF('Данные_месяцы'!$B$2:$B$301,A51,'Данные_месяцы'!$J$2:$J$301)</x:f>
        <x:v>117</x:v>
      </x:c>
      <x:c r="F51" s="81" t="n">
        <x:f>SUMIF('Данные_месяцы'!$B$2:$B$301,A51,'Данные_месяцы'!$K$2:$K$301)</x:f>
        <x:v>300</x:v>
      </x:c>
      <x:c r="G51" s="85" t="n">
        <x:f>IFERROR(F51/D51,0)</x:f>
        <x:v>0.7194244604316546</x:v>
      </x:c>
      <x:c r="H51" s="81" t="n">
        <x:f>SUMIF('Данные_месяцы'!$B$2:$B$301,A51,'Данные_месяцы'!$S$2:$S$301)</x:f>
        <x:v>1311325.0664622467</x:v>
      </x:c>
      <x:c r="I51" s="81" t="n">
        <x:f>SUMIF('Данные_месяцы'!$B$2:$B$301,A51,'Данные_месяцы'!$Q$2:$Q$301)</x:f>
        <x:v>44159.360101854414</x:v>
      </x:c>
      <x:c r="J51" s="89" t="n">
        <x:f>IFERROR(H51/I51,0)</x:f>
        <x:v>29.695291404532362</x:v>
      </x:c>
      <x:c r="K51" s="81" t="n">
        <x:f>SUMIF('Данные_месяцы'!$B$2:$B$301,A51,'Данные_месяцы'!$M$2:$M$301)</x:f>
        <x:v>39067.388270700605</x:v>
      </x:c>
      <x:c r="L51" s="81" t="n">
        <x:f>SUMIF('Данные_месяцы'!$B$2:$B$301,A51,'Данные_месяцы'!$N$2:$N$301)</x:f>
        <x:v>8792.366385489822</x:v>
      </x:c>
      <x:c r="M51" s="81" t="n">
        <x:f>SUMIF('Данные_месяцы'!$B$2:$B$301,A51,'Данные_месяцы'!$O$2:$O$301)</x:f>
        <x:v>6871.377731519776</x:v>
      </x:c>
      <x:c r="N51" s="81" t="n">
        <x:f>SUMIF('Данные_месяцы'!$B$2:$B$301,A51,'Данные_месяцы'!$P$2:$P$301)</x:f>
        <x:v>758.1414174148308</x:v>
      </x:c>
      <x:c r="O51" s="81" t="n">
        <x:f>SUMIF('Данные_месяцы'!$B$2:$B$301,A51,'Данные_месяцы'!$U$2:$U$301)</x:f>
        <x:v>643749.8354009225</x:v>
      </x:c>
      <x:c r="P51" s="81" t="n">
        <x:f>SUMIF('Данные_месяцы'!$B$2:$B$301,A51,'Данные_месяцы'!$V$2:$V$301)</x:f>
        <x:v>320258.70717516437</x:v>
      </x:c>
      <x:c r="Q51" s="85" t="n">
        <x:f>IFERROR(P51/H51,0)</x:f>
        <x:v>0.2442252614290163</x:v>
      </x:c>
      <x:c r="R51" s="77" t="str">
        <x:f>IF(P51&lt;0,"Убыточный",IF(Q51&lt;0.1,"Низкая маржа","Прибыльный"))</x:f>
        <x:v>Прибыльный</x:v>
      </x:c>
    </x:row>
  </x:sheetData>
  <x:conditionalFormatting sqref="P2:P51">
    <x:cfRule type="expression" dxfId="1" priority="1">
      <x:formula>P2&lt;0</x:formula>
    </x:cfRule>
  </x:conditionalFormatting>
  <x:conditionalFormatting sqref="R2:R51">
    <x:cfRule type="expression" dxfId="2" priority="2">
      <x:formula>R2="Убыточный"</x:formula>
    </x:cfRule>
    <x:cfRule type="expression" dxfId="3" priority="3">
      <x:formula>R2="Прибыльный"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af8a3f5bea495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20" hidden="0" customWidth="1"/>
    <x:col min="4" max="4" width="10" hidden="0" customWidth="1"/>
    <x:col min="5" max="5" width="14" hidden="0" customWidth="1"/>
    <x:col min="6" max="6" width="22" hidden="0" customWidth="1"/>
    <x:col min="7" max="7" width="20" hidden="0" customWidth="1"/>
    <x:col min="8" max="8" width="14" hidden="0" customWidth="1"/>
    <x:col min="9" max="9" width="14" hidden="0" customWidth="1"/>
    <x:col min="10" max="10" width="21" hidden="0" customWidth="1"/>
    <x:col min="11" max="11" width="22" hidden="0" customWidth="1"/>
    <x:col min="12" max="12" width="14" hidden="0" customWidth="1"/>
  </x:cols>
  <x:sheetData>
    <x:row r="1" ht="28" customHeight="1">
      <x:c r="A1" s="17" t="str">
        <x:v>SKU</x:v>
      </x:c>
      <x:c r="B1" s="43" t="str">
        <x:v>Товар</x:v>
      </x:c>
      <x:c r="C1" s="43" t="str">
        <x:v>Категория</x:v>
      </x:c>
      <x:c r="D1" s="43" t="str">
        <x:v>Размер</x:v>
      </x:c>
      <x:c r="E1" s="43" t="str">
        <x:v>Прогноз, ед.</x:v>
      </x:c>
      <x:c r="F1" s="43" t="str">
        <x:v>Целевой запас 45д, ед.</x:v>
      </x:c>
      <x:c r="G1" s="43" t="str">
        <x:v>Текущий остаток, ед.</x:v>
      </x:c>
      <x:c r="H1" s="43" t="str">
        <x:v>Избыток, ед.</x:v>
      </x:c>
      <x:c r="I1" s="43" t="str">
        <x:v>Дефицит, ед.</x:v>
      </x:c>
      <x:c r="J1" s="43" t="str">
        <x:v>Себестоимость ед., ₽</x:v>
      </x:c>
      <x:c r="K1" s="43" t="str">
        <x:v>Заморожено денег, ₽</x:v>
      </x:c>
      <x:c r="L1" s="18" t="str">
        <x:v>Статус</x:v>
      </x:c>
    </x:row>
    <x:row r="2">
      <x:c r="A2" s="48" t="str">
        <x:v>UM-001</x:v>
      </x:c>
      <x:c r="B2" s="48" t="str">
        <x:v>Миди с поясом</x:v>
      </x:c>
      <x:c r="C2" s="48" t="str">
        <x:v>Платья</x:v>
      </x:c>
      <x:c r="D2" s="48" t="str">
        <x:v>XS</x:v>
      </x:c>
      <x:c r="E2" s="56" t="n">
        <x:v>2</x:v>
      </x:c>
      <x:c r="F2" s="60" t="n">
        <x:f>E2*1.5</x:f>
        <x:v>3</x:v>
      </x:c>
      <x:c r="G2" s="56" t="n">
        <x:v>5</x:v>
      </x:c>
      <x:c r="H2" s="60" t="n">
        <x:f>MAX(G2-F2,0)</x:f>
        <x:v>2</x:v>
      </x:c>
      <x:c r="I2" s="60" t="n">
        <x:f>MAX(F2-G2,0)</x:f>
        <x:v>0</x:v>
      </x:c>
      <x:c r="J2" s="56" t="n">
        <x:v>2327.2019416984476</x:v>
      </x:c>
      <x:c r="K2" s="60" t="n">
        <x:f>H2*J2</x:f>
        <x:v>4654.403883396895</x:v>
      </x:c>
      <x:c r="L2" s="52" t="str">
        <x:f>IF(I2&gt;=MAX(2,E2*0.5),"Дефицит",IF(H2&gt;=MAX(3,E2*0.75),"Избыток","Норма"))</x:f>
        <x:v>Норма</x:v>
      </x:c>
    </x:row>
    <x:row r="3">
      <x:c r="A3" s="48" t="str">
        <x:v>UM-001</x:v>
      </x:c>
      <x:c r="B3" s="48" t="str">
        <x:v>Миди с поясом</x:v>
      </x:c>
      <x:c r="C3" s="48" t="str">
        <x:v>Платья</x:v>
      </x:c>
      <x:c r="D3" s="48" t="str">
        <x:v>S</x:v>
      </x:c>
      <x:c r="E3" s="56" t="n">
        <x:v>5</x:v>
      </x:c>
      <x:c r="F3" s="60" t="n">
        <x:f>E3*1.5</x:f>
        <x:v>7.5</x:v>
      </x:c>
      <x:c r="G3" s="56" t="n">
        <x:v>7</x:v>
      </x:c>
      <x:c r="H3" s="60" t="n">
        <x:f>MAX(G3-F3,0)</x:f>
        <x:v>0</x:v>
      </x:c>
      <x:c r="I3" s="60" t="n">
        <x:f>MAX(F3-G3,0)</x:f>
        <x:v>0.5</x:v>
      </x:c>
      <x:c r="J3" s="56" t="n">
        <x:v>2327.2019416984476</x:v>
      </x:c>
      <x:c r="K3" s="60" t="n">
        <x:f>H3*J3</x:f>
        <x:v>0</x:v>
      </x:c>
      <x:c r="L3" s="52" t="str">
        <x:f>IF(I3&gt;=MAX(2,E3*0.5),"Дефицит",IF(H3&gt;=MAX(3,E3*0.75),"Избыток","Норма"))</x:f>
        <x:v>Норма</x:v>
      </x:c>
    </x:row>
    <x:row r="4">
      <x:c r="A4" s="48" t="str">
        <x:v>UM-001</x:v>
      </x:c>
      <x:c r="B4" s="48" t="str">
        <x:v>Миди с поясом</x:v>
      </x:c>
      <x:c r="C4" s="48" t="str">
        <x:v>Платья</x:v>
      </x:c>
      <x:c r="D4" s="48" t="str">
        <x:v>M</x:v>
      </x:c>
      <x:c r="E4" s="56" t="n">
        <x:v>8</x:v>
      </x:c>
      <x:c r="F4" s="60" t="n">
        <x:f>E4*1.5</x:f>
        <x:v>12</x:v>
      </x:c>
      <x:c r="G4" s="56" t="n">
        <x:v>15</x:v>
      </x:c>
      <x:c r="H4" s="60" t="n">
        <x:f>MAX(G4-F4,0)</x:f>
        <x:v>3</x:v>
      </x:c>
      <x:c r="I4" s="60" t="n">
        <x:f>MAX(F4-G4,0)</x:f>
        <x:v>0</x:v>
      </x:c>
      <x:c r="J4" s="56" t="n">
        <x:v>2327.2019416984476</x:v>
      </x:c>
      <x:c r="K4" s="60" t="n">
        <x:f>H4*J4</x:f>
        <x:v>6981.605825095343</x:v>
      </x:c>
      <x:c r="L4" s="52" t="str">
        <x:f>IF(I4&gt;=MAX(2,E4*0.5),"Дефицит",IF(H4&gt;=MAX(3,E4*0.75),"Избыток","Норма"))</x:f>
        <x:v>Норма</x:v>
      </x:c>
    </x:row>
    <x:row r="5">
      <x:c r="A5" s="48" t="str">
        <x:v>UM-001</x:v>
      </x:c>
      <x:c r="B5" s="48" t="str">
        <x:v>Миди с поясом</x:v>
      </x:c>
      <x:c r="C5" s="48" t="str">
        <x:v>Платья</x:v>
      </x:c>
      <x:c r="D5" s="48" t="str">
        <x:v>L</x:v>
      </x:c>
      <x:c r="E5" s="56" t="n">
        <x:v>4</x:v>
      </x:c>
      <x:c r="F5" s="60" t="n">
        <x:f>E5*1.5</x:f>
        <x:v>6</x:v>
      </x:c>
      <x:c r="G5" s="56" t="n">
        <x:v>8</x:v>
      </x:c>
      <x:c r="H5" s="60" t="n">
        <x:f>MAX(G5-F5,0)</x:f>
        <x:v>2</x:v>
      </x:c>
      <x:c r="I5" s="60" t="n">
        <x:f>MAX(F5-G5,0)</x:f>
        <x:v>0</x:v>
      </x:c>
      <x:c r="J5" s="56" t="n">
        <x:v>2327.2019416984476</x:v>
      </x:c>
      <x:c r="K5" s="60" t="n">
        <x:f>H5*J5</x:f>
        <x:v>4654.403883396895</x:v>
      </x:c>
      <x:c r="L5" s="52" t="str">
        <x:f>IF(I5&gt;=MAX(2,E5*0.5),"Дефицит",IF(H5&gt;=MAX(3,E5*0.75),"Избыток","Норма"))</x:f>
        <x:v>Норма</x:v>
      </x:c>
    </x:row>
    <x:row r="6">
      <x:c r="A6" s="48" t="str">
        <x:v>UM-001</x:v>
      </x:c>
      <x:c r="B6" s="48" t="str">
        <x:v>Миди с поясом</x:v>
      </x:c>
      <x:c r="C6" s="48" t="str">
        <x:v>Платья</x:v>
      </x:c>
      <x:c r="D6" s="48" t="str">
        <x:v>XL</x:v>
      </x:c>
      <x:c r="E6" s="56" t="n">
        <x:v>2</x:v>
      </x:c>
      <x:c r="F6" s="60" t="n">
        <x:f>E6*1.5</x:f>
        <x:v>3</x:v>
      </x:c>
      <x:c r="G6" s="56" t="n">
        <x:v>6</x:v>
      </x:c>
      <x:c r="H6" s="60" t="n">
        <x:f>MAX(G6-F6,0)</x:f>
        <x:v>3</x:v>
      </x:c>
      <x:c r="I6" s="60" t="n">
        <x:f>MAX(F6-G6,0)</x:f>
        <x:v>0</x:v>
      </x:c>
      <x:c r="J6" s="56" t="n">
        <x:v>2327.2019416984476</x:v>
      </x:c>
      <x:c r="K6" s="60" t="n">
        <x:f>H6*J6</x:f>
        <x:v>6981.605825095343</x:v>
      </x:c>
      <x:c r="L6" s="52" t="str">
        <x:f>IF(I6&gt;=MAX(2,E6*0.5),"Дефицит",IF(H6&gt;=MAX(3,E6*0.75),"Избыток","Норма"))</x:f>
        <x:v>Избыток</x:v>
      </x:c>
    </x:row>
    <x:row r="7">
      <x:c r="A7" s="48" t="str">
        <x:v>UM-002</x:v>
      </x:c>
      <x:c r="B7" s="48" t="str">
        <x:v>Трикотажное миди</x:v>
      </x:c>
      <x:c r="C7" s="48" t="str">
        <x:v>Платья</x:v>
      </x:c>
      <x:c r="D7" s="48" t="str">
        <x:v>XS</x:v>
      </x:c>
      <x:c r="E7" s="56" t="n">
        <x:v>3</x:v>
      </x:c>
      <x:c r="F7" s="60" t="n">
        <x:f>E7*1.5</x:f>
        <x:v>4.5</x:v>
      </x:c>
      <x:c r="G7" s="56" t="n">
        <x:v>3</x:v>
      </x:c>
      <x:c r="H7" s="60" t="n">
        <x:f>MAX(G7-F7,0)</x:f>
        <x:v>0</x:v>
      </x:c>
      <x:c r="I7" s="60" t="n">
        <x:f>MAX(F7-G7,0)</x:f>
        <x:v>1.5</x:v>
      </x:c>
      <x:c r="J7" s="56" t="n">
        <x:v>1749.8500877563276</x:v>
      </x:c>
      <x:c r="K7" s="60" t="n">
        <x:f>H7*J7</x:f>
        <x:v>0</x:v>
      </x:c>
      <x:c r="L7" s="52" t="str">
        <x:f>IF(I7&gt;=MAX(2,E7*0.5),"Дефицит",IF(H7&gt;=MAX(3,E7*0.75),"Избыток","Норма"))</x:f>
        <x:v>Норма</x:v>
      </x:c>
    </x:row>
    <x:row r="8">
      <x:c r="A8" s="48" t="str">
        <x:v>UM-002</x:v>
      </x:c>
      <x:c r="B8" s="48" t="str">
        <x:v>Трикотажное миди</x:v>
      </x:c>
      <x:c r="C8" s="48" t="str">
        <x:v>Платья</x:v>
      </x:c>
      <x:c r="D8" s="48" t="str">
        <x:v>S</x:v>
      </x:c>
      <x:c r="E8" s="56" t="n">
        <x:v>5</x:v>
      </x:c>
      <x:c r="F8" s="60" t="n">
        <x:f>E8*1.5</x:f>
        <x:v>7.5</x:v>
      </x:c>
      <x:c r="G8" s="56" t="n">
        <x:v>6</x:v>
      </x:c>
      <x:c r="H8" s="60" t="n">
        <x:f>MAX(G8-F8,0)</x:f>
        <x:v>0</x:v>
      </x:c>
      <x:c r="I8" s="60" t="n">
        <x:f>MAX(F8-G8,0)</x:f>
        <x:v>1.5</x:v>
      </x:c>
      <x:c r="J8" s="56" t="n">
        <x:v>1749.8500877563276</x:v>
      </x:c>
      <x:c r="K8" s="60" t="n">
        <x:f>H8*J8</x:f>
        <x:v>0</x:v>
      </x:c>
      <x:c r="L8" s="52" t="str">
        <x:f>IF(I8&gt;=MAX(2,E8*0.5),"Дефицит",IF(H8&gt;=MAX(3,E8*0.75),"Избыток","Норма"))</x:f>
        <x:v>Норма</x:v>
      </x:c>
    </x:row>
    <x:row r="9">
      <x:c r="A9" s="48" t="str">
        <x:v>UM-002</x:v>
      </x:c>
      <x:c r="B9" s="48" t="str">
        <x:v>Трикотажное миди</x:v>
      </x:c>
      <x:c r="C9" s="48" t="str">
        <x:v>Платья</x:v>
      </x:c>
      <x:c r="D9" s="48" t="str">
        <x:v>M</x:v>
      </x:c>
      <x:c r="E9" s="56" t="n">
        <x:v>8</x:v>
      </x:c>
      <x:c r="F9" s="60" t="n">
        <x:f>E9*1.5</x:f>
        <x:v>12</x:v>
      </x:c>
      <x:c r="G9" s="56" t="n">
        <x:v>10</x:v>
      </x:c>
      <x:c r="H9" s="60" t="n">
        <x:f>MAX(G9-F9,0)</x:f>
        <x:v>0</x:v>
      </x:c>
      <x:c r="I9" s="60" t="n">
        <x:f>MAX(F9-G9,0)</x:f>
        <x:v>2</x:v>
      </x:c>
      <x:c r="J9" s="56" t="n">
        <x:v>1749.8500877563276</x:v>
      </x:c>
      <x:c r="K9" s="60" t="n">
        <x:f>H9*J9</x:f>
        <x:v>0</x:v>
      </x:c>
      <x:c r="L9" s="52" t="str">
        <x:f>IF(I9&gt;=MAX(2,E9*0.5),"Дефицит",IF(H9&gt;=MAX(3,E9*0.75),"Избыток","Норма"))</x:f>
        <x:v>Норма</x:v>
      </x:c>
    </x:row>
    <x:row r="10">
      <x:c r="A10" s="48" t="str">
        <x:v>UM-002</x:v>
      </x:c>
      <x:c r="B10" s="48" t="str">
        <x:v>Трикотажное миди</x:v>
      </x:c>
      <x:c r="C10" s="48" t="str">
        <x:v>Платья</x:v>
      </x:c>
      <x:c r="D10" s="48" t="str">
        <x:v>L</x:v>
      </x:c>
      <x:c r="E10" s="56" t="n">
        <x:v>5</x:v>
      </x:c>
      <x:c r="F10" s="60" t="n">
        <x:f>E10*1.5</x:f>
        <x:v>7.5</x:v>
      </x:c>
      <x:c r="G10" s="56" t="n">
        <x:v>8</x:v>
      </x:c>
      <x:c r="H10" s="60" t="n">
        <x:f>MAX(G10-F10,0)</x:f>
        <x:v>0.5</x:v>
      </x:c>
      <x:c r="I10" s="60" t="n">
        <x:f>MAX(F10-G10,0)</x:f>
        <x:v>0</x:v>
      </x:c>
      <x:c r="J10" s="56" t="n">
        <x:v>1749.8500877563276</x:v>
      </x:c>
      <x:c r="K10" s="60" t="n">
        <x:f>H10*J10</x:f>
        <x:v>874.9250438781638</x:v>
      </x:c>
      <x:c r="L10" s="52" t="str">
        <x:f>IF(I10&gt;=MAX(2,E10*0.5),"Дефицит",IF(H10&gt;=MAX(3,E10*0.75),"Избыток","Норма"))</x:f>
        <x:v>Норма</x:v>
      </x:c>
    </x:row>
    <x:row r="11">
      <x:c r="A11" s="48" t="str">
        <x:v>UM-002</x:v>
      </x:c>
      <x:c r="B11" s="48" t="str">
        <x:v>Трикотажное миди</x:v>
      </x:c>
      <x:c r="C11" s="48" t="str">
        <x:v>Платья</x:v>
      </x:c>
      <x:c r="D11" s="48" t="str">
        <x:v>XL</x:v>
      </x:c>
      <x:c r="E11" s="56" t="n">
        <x:v>2</x:v>
      </x:c>
      <x:c r="F11" s="60" t="n">
        <x:f>E11*1.5</x:f>
        <x:v>3</x:v>
      </x:c>
      <x:c r="G11" s="56" t="n">
        <x:v>3</x:v>
      </x:c>
      <x:c r="H11" s="60" t="n">
        <x:f>MAX(G11-F11,0)</x:f>
        <x:v>0</x:v>
      </x:c>
      <x:c r="I11" s="60" t="n">
        <x:f>MAX(F11-G11,0)</x:f>
        <x:v>0</x:v>
      </x:c>
      <x:c r="J11" s="56" t="n">
        <x:v>1749.8500877563276</x:v>
      </x:c>
      <x:c r="K11" s="60" t="n">
        <x:f>H11*J11</x:f>
        <x:v>0</x:v>
      </x:c>
      <x:c r="L11" s="52" t="str">
        <x:f>IF(I11&gt;=MAX(2,E11*0.5),"Дефицит",IF(H11&gt;=MAX(3,E11*0.75),"Избыток","Норма"))</x:f>
        <x:v>Норма</x:v>
      </x:c>
    </x:row>
    <x:row r="12">
      <x:c r="A12" s="48" t="str">
        <x:v>UM-003</x:v>
      </x:c>
      <x:c r="B12" s="48" t="str">
        <x:v>Платье-комбинация</x:v>
      </x:c>
      <x:c r="C12" s="48" t="str">
        <x:v>Платья</x:v>
      </x:c>
      <x:c r="D12" s="48" t="str">
        <x:v>XS</x:v>
      </x:c>
      <x:c r="E12" s="56" t="n">
        <x:v>1</x:v>
      </x:c>
      <x:c r="F12" s="60" t="n">
        <x:f>E12*1.5</x:f>
        <x:v>1.5</x:v>
      </x:c>
      <x:c r="G12" s="56" t="n">
        <x:v>6</x:v>
      </x:c>
      <x:c r="H12" s="60" t="n">
        <x:f>MAX(G12-F12,0)</x:f>
        <x:v>4.5</x:v>
      </x:c>
      <x:c r="I12" s="60" t="n">
        <x:f>MAX(F12-G12,0)</x:f>
        <x:v>0</x:v>
      </x:c>
      <x:c r="J12" s="56" t="n">
        <x:v>1379.8557152117908</x:v>
      </x:c>
      <x:c r="K12" s="60" t="n">
        <x:f>H12*J12</x:f>
        <x:v>6209.350718453058</x:v>
      </x:c>
      <x:c r="L12" s="52" t="str">
        <x:f>IF(I12&gt;=MAX(2,E12*0.5),"Дефицит",IF(H12&gt;=MAX(3,E12*0.75),"Избыток","Норма"))</x:f>
        <x:v>Избыток</x:v>
      </x:c>
    </x:row>
    <x:row r="13">
      <x:c r="A13" s="48" t="str">
        <x:v>UM-003</x:v>
      </x:c>
      <x:c r="B13" s="48" t="str">
        <x:v>Платье-комбинация</x:v>
      </x:c>
      <x:c r="C13" s="48" t="str">
        <x:v>Платья</x:v>
      </x:c>
      <x:c r="D13" s="48" t="str">
        <x:v>S</x:v>
      </x:c>
      <x:c r="E13" s="56" t="n">
        <x:v>4</x:v>
      </x:c>
      <x:c r="F13" s="60" t="n">
        <x:f>E13*1.5</x:f>
        <x:v>6</x:v>
      </x:c>
      <x:c r="G13" s="56" t="n">
        <x:v>5</x:v>
      </x:c>
      <x:c r="H13" s="60" t="n">
        <x:f>MAX(G13-F13,0)</x:f>
        <x:v>0</x:v>
      </x:c>
      <x:c r="I13" s="60" t="n">
        <x:f>MAX(F13-G13,0)</x:f>
        <x:v>1</x:v>
      </x:c>
      <x:c r="J13" s="56" t="n">
        <x:v>1379.8557152117908</x:v>
      </x:c>
      <x:c r="K13" s="60" t="n">
        <x:f>H13*J13</x:f>
        <x:v>0</x:v>
      </x:c>
      <x:c r="L13" s="52" t="str">
        <x:f>IF(I13&gt;=MAX(2,E13*0.5),"Дефицит",IF(H13&gt;=MAX(3,E13*0.75),"Избыток","Норма"))</x:f>
        <x:v>Норма</x:v>
      </x:c>
    </x:row>
    <x:row r="14">
      <x:c r="A14" s="48" t="str">
        <x:v>UM-003</x:v>
      </x:c>
      <x:c r="B14" s="48" t="str">
        <x:v>Платье-комбинация</x:v>
      </x:c>
      <x:c r="C14" s="48" t="str">
        <x:v>Платья</x:v>
      </x:c>
      <x:c r="D14" s="48" t="str">
        <x:v>M</x:v>
      </x:c>
      <x:c r="E14" s="56" t="n">
        <x:v>5</x:v>
      </x:c>
      <x:c r="F14" s="60" t="n">
        <x:f>E14*1.5</x:f>
        <x:v>7.5</x:v>
      </x:c>
      <x:c r="G14" s="56" t="n">
        <x:v>8</x:v>
      </x:c>
      <x:c r="H14" s="60" t="n">
        <x:f>MAX(G14-F14,0)</x:f>
        <x:v>0.5</x:v>
      </x:c>
      <x:c r="I14" s="60" t="n">
        <x:f>MAX(F14-G14,0)</x:f>
        <x:v>0</x:v>
      </x:c>
      <x:c r="J14" s="56" t="n">
        <x:v>1379.8557152117908</x:v>
      </x:c>
      <x:c r="K14" s="60" t="n">
        <x:f>H14*J14</x:f>
        <x:v>689.9278576058954</x:v>
      </x:c>
      <x:c r="L14" s="52" t="str">
        <x:f>IF(I14&gt;=MAX(2,E14*0.5),"Дефицит",IF(H14&gt;=MAX(3,E14*0.75),"Избыток","Норма"))</x:f>
        <x:v>Норма</x:v>
      </x:c>
    </x:row>
    <x:row r="15">
      <x:c r="A15" s="48" t="str">
        <x:v>UM-003</x:v>
      </x:c>
      <x:c r="B15" s="48" t="str">
        <x:v>Платье-комбинация</x:v>
      </x:c>
      <x:c r="C15" s="48" t="str">
        <x:v>Платья</x:v>
      </x:c>
      <x:c r="D15" s="48" t="str">
        <x:v>L</x:v>
      </x:c>
      <x:c r="E15" s="56" t="n">
        <x:v>4</x:v>
      </x:c>
      <x:c r="F15" s="60" t="n">
        <x:f>E15*1.5</x:f>
        <x:v>6</x:v>
      </x:c>
      <x:c r="G15" s="56" t="n">
        <x:v>5</x:v>
      </x:c>
      <x:c r="H15" s="60" t="n">
        <x:f>MAX(G15-F15,0)</x:f>
        <x:v>0</x:v>
      </x:c>
      <x:c r="I15" s="60" t="n">
        <x:f>MAX(F15-G15,0)</x:f>
        <x:v>1</x:v>
      </x:c>
      <x:c r="J15" s="56" t="n">
        <x:v>1379.8557152117908</x:v>
      </x:c>
      <x:c r="K15" s="60" t="n">
        <x:f>H15*J15</x:f>
        <x:v>0</x:v>
      </x:c>
      <x:c r="L15" s="52" t="str">
        <x:f>IF(I15&gt;=MAX(2,E15*0.5),"Дефицит",IF(H15&gt;=MAX(3,E15*0.75),"Избыток","Норма"))</x:f>
        <x:v>Норма</x:v>
      </x:c>
    </x:row>
    <x:row r="16">
      <x:c r="A16" s="48" t="str">
        <x:v>UM-003</x:v>
      </x:c>
      <x:c r="B16" s="48" t="str">
        <x:v>Платье-комбинация</x:v>
      </x:c>
      <x:c r="C16" s="48" t="str">
        <x:v>Платья</x:v>
      </x:c>
      <x:c r="D16" s="48" t="str">
        <x:v>XL</x:v>
      </x:c>
      <x:c r="E16" s="56" t="n">
        <x:v>2</x:v>
      </x:c>
      <x:c r="F16" s="60" t="n">
        <x:f>E16*1.5</x:f>
        <x:v>3</x:v>
      </x:c>
      <x:c r="G16" s="56" t="n">
        <x:v>8</x:v>
      </x:c>
      <x:c r="H16" s="60" t="n">
        <x:f>MAX(G16-F16,0)</x:f>
        <x:v>5</x:v>
      </x:c>
      <x:c r="I16" s="60" t="n">
        <x:f>MAX(F16-G16,0)</x:f>
        <x:v>0</x:v>
      </x:c>
      <x:c r="J16" s="56" t="n">
        <x:v>1379.8557152117908</x:v>
      </x:c>
      <x:c r="K16" s="60" t="n">
        <x:f>H16*J16</x:f>
        <x:v>6899.278576058954</x:v>
      </x:c>
      <x:c r="L16" s="52" t="str">
        <x:f>IF(I16&gt;=MAX(2,E16*0.5),"Дефицит",IF(H16&gt;=MAX(3,E16*0.75),"Избыток","Норма"))</x:f>
        <x:v>Избыток</x:v>
      </x:c>
    </x:row>
    <x:row r="17">
      <x:c r="A17" s="48" t="str">
        <x:v>UM-004</x:v>
      </x:c>
      <x:c r="B17" s="48" t="str">
        <x:v>Офисное футляр</x:v>
      </x:c>
      <x:c r="C17" s="48" t="str">
        <x:v>Платья</x:v>
      </x:c>
      <x:c r="D17" s="48" t="str">
        <x:v>XS</x:v>
      </x:c>
      <x:c r="E17" s="56" t="n">
        <x:v>5</x:v>
      </x:c>
      <x:c r="F17" s="60" t="n">
        <x:f>E17*1.5</x:f>
        <x:v>7.5</x:v>
      </x:c>
      <x:c r="G17" s="56" t="n">
        <x:v>3</x:v>
      </x:c>
      <x:c r="H17" s="60" t="n">
        <x:f>MAX(G17-F17,0)</x:f>
        <x:v>0</x:v>
      </x:c>
      <x:c r="I17" s="60" t="n">
        <x:f>MAX(F17-G17,0)</x:f>
        <x:v>4.5</x:v>
      </x:c>
      <x:c r="J17" s="56" t="n">
        <x:v>1433.2632313229221</x:v>
      </x:c>
      <x:c r="K17" s="60" t="n">
        <x:f>H17*J17</x:f>
        <x:v>0</x:v>
      </x:c>
      <x:c r="L17" s="52" t="str">
        <x:f>IF(I17&gt;=MAX(2,E17*0.5),"Дефицит",IF(H17&gt;=MAX(3,E17*0.75),"Избыток","Норма"))</x:f>
        <x:v>Дефицит</x:v>
      </x:c>
    </x:row>
    <x:row r="18">
      <x:c r="A18" s="48" t="str">
        <x:v>UM-004</x:v>
      </x:c>
      <x:c r="B18" s="48" t="str">
        <x:v>Офисное футляр</x:v>
      </x:c>
      <x:c r="C18" s="48" t="str">
        <x:v>Платья</x:v>
      </x:c>
      <x:c r="D18" s="48" t="str">
        <x:v>S</x:v>
      </x:c>
      <x:c r="E18" s="56" t="n">
        <x:v>6</x:v>
      </x:c>
      <x:c r="F18" s="60" t="n">
        <x:f>E18*1.5</x:f>
        <x:v>9</x:v>
      </x:c>
      <x:c r="G18" s="56" t="n">
        <x:v>13</x:v>
      </x:c>
      <x:c r="H18" s="60" t="n">
        <x:f>MAX(G18-F18,0)</x:f>
        <x:v>4</x:v>
      </x:c>
      <x:c r="I18" s="60" t="n">
        <x:f>MAX(F18-G18,0)</x:f>
        <x:v>0</x:v>
      </x:c>
      <x:c r="J18" s="56" t="n">
        <x:v>1433.2632313229221</x:v>
      </x:c>
      <x:c r="K18" s="60" t="n">
        <x:f>H18*J18</x:f>
        <x:v>5733.052925291689</x:v>
      </x:c>
      <x:c r="L18" s="52" t="str">
        <x:f>IF(I18&gt;=MAX(2,E18*0.5),"Дефицит",IF(H18&gt;=MAX(3,E18*0.75),"Избыток","Норма"))</x:f>
        <x:v>Норма</x:v>
      </x:c>
    </x:row>
    <x:row r="19">
      <x:c r="A19" s="48" t="str">
        <x:v>UM-004</x:v>
      </x:c>
      <x:c r="B19" s="48" t="str">
        <x:v>Офисное футляр</x:v>
      </x:c>
      <x:c r="C19" s="48" t="str">
        <x:v>Платья</x:v>
      </x:c>
      <x:c r="D19" s="48" t="str">
        <x:v>M</x:v>
      </x:c>
      <x:c r="E19" s="56" t="n">
        <x:v>9</x:v>
      </x:c>
      <x:c r="F19" s="60" t="n">
        <x:f>E19*1.5</x:f>
        <x:v>13.5</x:v>
      </x:c>
      <x:c r="G19" s="56" t="n">
        <x:v>11</x:v>
      </x:c>
      <x:c r="H19" s="60" t="n">
        <x:f>MAX(G19-F19,0)</x:f>
        <x:v>0</x:v>
      </x:c>
      <x:c r="I19" s="60" t="n">
        <x:f>MAX(F19-G19,0)</x:f>
        <x:v>2.5</x:v>
      </x:c>
      <x:c r="J19" s="56" t="n">
        <x:v>1433.2632313229221</x:v>
      </x:c>
      <x:c r="K19" s="60" t="n">
        <x:f>H19*J19</x:f>
        <x:v>0</x:v>
      </x:c>
      <x:c r="L19" s="52" t="str">
        <x:f>IF(I19&gt;=MAX(2,E19*0.5),"Дефицит",IF(H19&gt;=MAX(3,E19*0.75),"Избыток","Норма"))</x:f>
        <x:v>Норма</x:v>
      </x:c>
    </x:row>
    <x:row r="20">
      <x:c r="A20" s="48" t="str">
        <x:v>UM-004</x:v>
      </x:c>
      <x:c r="B20" s="48" t="str">
        <x:v>Офисное футляр</x:v>
      </x:c>
      <x:c r="C20" s="48" t="str">
        <x:v>Платья</x:v>
      </x:c>
      <x:c r="D20" s="48" t="str">
        <x:v>L</x:v>
      </x:c>
      <x:c r="E20" s="56" t="n">
        <x:v>6</x:v>
      </x:c>
      <x:c r="F20" s="60" t="n">
        <x:f>E20*1.5</x:f>
        <x:v>9</x:v>
      </x:c>
      <x:c r="G20" s="56" t="n">
        <x:v>21</x:v>
      </x:c>
      <x:c r="H20" s="60" t="n">
        <x:f>MAX(G20-F20,0)</x:f>
        <x:v>12</x:v>
      </x:c>
      <x:c r="I20" s="60" t="n">
        <x:f>MAX(F20-G20,0)</x:f>
        <x:v>0</x:v>
      </x:c>
      <x:c r="J20" s="56" t="n">
        <x:v>1433.2632313229221</x:v>
      </x:c>
      <x:c r="K20" s="60" t="n">
        <x:f>H20*J20</x:f>
        <x:v>17199.158775875065</x:v>
      </x:c>
      <x:c r="L20" s="52" t="str">
        <x:f>IF(I20&gt;=MAX(2,E20*0.5),"Дефицит",IF(H20&gt;=MAX(3,E20*0.75),"Избыток","Норма"))</x:f>
        <x:v>Избыток</x:v>
      </x:c>
    </x:row>
    <x:row r="21">
      <x:c r="A21" s="48" t="str">
        <x:v>UM-004</x:v>
      </x:c>
      <x:c r="B21" s="48" t="str">
        <x:v>Офисное футляр</x:v>
      </x:c>
      <x:c r="C21" s="48" t="str">
        <x:v>Платья</x:v>
      </x:c>
      <x:c r="D21" s="48" t="str">
        <x:v>XL</x:v>
      </x:c>
      <x:c r="E21" s="56" t="n">
        <x:v>3</x:v>
      </x:c>
      <x:c r="F21" s="60" t="n">
        <x:f>E21*1.5</x:f>
        <x:v>4.5</x:v>
      </x:c>
      <x:c r="G21" s="56" t="n">
        <x:v>2</x:v>
      </x:c>
      <x:c r="H21" s="60" t="n">
        <x:f>MAX(G21-F21,0)</x:f>
        <x:v>0</x:v>
      </x:c>
      <x:c r="I21" s="60" t="n">
        <x:f>MAX(F21-G21,0)</x:f>
        <x:v>2.5</x:v>
      </x:c>
      <x:c r="J21" s="56" t="n">
        <x:v>1433.2632313229221</x:v>
      </x:c>
      <x:c r="K21" s="60" t="n">
        <x:f>H21*J21</x:f>
        <x:v>0</x:v>
      </x:c>
      <x:c r="L21" s="52" t="str">
        <x:f>IF(I21&gt;=MAX(2,E21*0.5),"Дефицит",IF(H21&gt;=MAX(3,E21*0.75),"Избыток","Норма"))</x:f>
        <x:v>Дефицит</x:v>
      </x:c>
    </x:row>
    <x:row r="22">
      <x:c r="A22" s="48" t="str">
        <x:v>UM-005</x:v>
      </x:c>
      <x:c r="B22" s="48" t="str">
        <x:v>Платье-рубашка</x:v>
      </x:c>
      <x:c r="C22" s="48" t="str">
        <x:v>Платья</x:v>
      </x:c>
      <x:c r="D22" s="48" t="str">
        <x:v>XS</x:v>
      </x:c>
      <x:c r="E22" s="56" t="n">
        <x:v>4</x:v>
      </x:c>
      <x:c r="F22" s="60" t="n">
        <x:f>E22*1.5</x:f>
        <x:v>6</x:v>
      </x:c>
      <x:c r="G22" s="56" t="n">
        <x:v>2</x:v>
      </x:c>
      <x:c r="H22" s="60" t="n">
        <x:f>MAX(G22-F22,0)</x:f>
        <x:v>0</x:v>
      </x:c>
      <x:c r="I22" s="60" t="n">
        <x:f>MAX(F22-G22,0)</x:f>
        <x:v>4</x:v>
      </x:c>
      <x:c r="J22" s="56" t="n">
        <x:v>1114.051521997708</x:v>
      </x:c>
      <x:c r="K22" s="60" t="n">
        <x:f>H22*J22</x:f>
        <x:v>0</x:v>
      </x:c>
      <x:c r="L22" s="52" t="str">
        <x:f>IF(I22&gt;=MAX(2,E22*0.5),"Дефицит",IF(H22&gt;=MAX(3,E22*0.75),"Избыток","Норма"))</x:f>
        <x:v>Дефицит</x:v>
      </x:c>
    </x:row>
    <x:row r="23">
      <x:c r="A23" s="48" t="str">
        <x:v>UM-005</x:v>
      </x:c>
      <x:c r="B23" s="48" t="str">
        <x:v>Платье-рубашка</x:v>
      </x:c>
      <x:c r="C23" s="48" t="str">
        <x:v>Платья</x:v>
      </x:c>
      <x:c r="D23" s="48" t="str">
        <x:v>S</x:v>
      </x:c>
      <x:c r="E23" s="56" t="n">
        <x:v>11</x:v>
      </x:c>
      <x:c r="F23" s="60" t="n">
        <x:f>E23*1.5</x:f>
        <x:v>16.5</x:v>
      </x:c>
      <x:c r="G23" s="56" t="n">
        <x:v>9</x:v>
      </x:c>
      <x:c r="H23" s="60" t="n">
        <x:f>MAX(G23-F23,0)</x:f>
        <x:v>0</x:v>
      </x:c>
      <x:c r="I23" s="60" t="n">
        <x:f>MAX(F23-G23,0)</x:f>
        <x:v>7.5</x:v>
      </x:c>
      <x:c r="J23" s="56" t="n">
        <x:v>1114.051521997708</x:v>
      </x:c>
      <x:c r="K23" s="60" t="n">
        <x:f>H23*J23</x:f>
        <x:v>0</x:v>
      </x:c>
      <x:c r="L23" s="52" t="str">
        <x:f>IF(I23&gt;=MAX(2,E23*0.5),"Дефицит",IF(H23&gt;=MAX(3,E23*0.75),"Избыток","Норма"))</x:f>
        <x:v>Дефицит</x:v>
      </x:c>
    </x:row>
    <x:row r="24">
      <x:c r="A24" s="48" t="str">
        <x:v>UM-005</x:v>
      </x:c>
      <x:c r="B24" s="48" t="str">
        <x:v>Платье-рубашка</x:v>
      </x:c>
      <x:c r="C24" s="48" t="str">
        <x:v>Платья</x:v>
      </x:c>
      <x:c r="D24" s="48" t="str">
        <x:v>M</x:v>
      </x:c>
      <x:c r="E24" s="56" t="n">
        <x:v>11</x:v>
      </x:c>
      <x:c r="F24" s="60" t="n">
        <x:f>E24*1.5</x:f>
        <x:v>16.5</x:v>
      </x:c>
      <x:c r="G24" s="56" t="n">
        <x:v>19</x:v>
      </x:c>
      <x:c r="H24" s="60" t="n">
        <x:f>MAX(G24-F24,0)</x:f>
        <x:v>2.5</x:v>
      </x:c>
      <x:c r="I24" s="60" t="n">
        <x:f>MAX(F24-G24,0)</x:f>
        <x:v>0</x:v>
      </x:c>
      <x:c r="J24" s="56" t="n">
        <x:v>1114.051521997708</x:v>
      </x:c>
      <x:c r="K24" s="60" t="n">
        <x:f>H24*J24</x:f>
        <x:v>2785.12880499427</x:v>
      </x:c>
      <x:c r="L24" s="52" t="str">
        <x:f>IF(I24&gt;=MAX(2,E24*0.5),"Дефицит",IF(H24&gt;=MAX(3,E24*0.75),"Избыток","Норма"))</x:f>
        <x:v>Норма</x:v>
      </x:c>
    </x:row>
    <x:row r="25">
      <x:c r="A25" s="48" t="str">
        <x:v>UM-005</x:v>
      </x:c>
      <x:c r="B25" s="48" t="str">
        <x:v>Платье-рубашка</x:v>
      </x:c>
      <x:c r="C25" s="48" t="str">
        <x:v>Платья</x:v>
      </x:c>
      <x:c r="D25" s="48" t="str">
        <x:v>L</x:v>
      </x:c>
      <x:c r="E25" s="56" t="n">
        <x:v>8</x:v>
      </x:c>
      <x:c r="F25" s="60" t="n">
        <x:f>E25*1.5</x:f>
        <x:v>12</x:v>
      </x:c>
      <x:c r="G25" s="56" t="n">
        <x:v>13</x:v>
      </x:c>
      <x:c r="H25" s="60" t="n">
        <x:f>MAX(G25-F25,0)</x:f>
        <x:v>1</x:v>
      </x:c>
      <x:c r="I25" s="60" t="n">
        <x:f>MAX(F25-G25,0)</x:f>
        <x:v>0</x:v>
      </x:c>
      <x:c r="J25" s="56" t="n">
        <x:v>1114.051521997708</x:v>
      </x:c>
      <x:c r="K25" s="60" t="n">
        <x:f>H25*J25</x:f>
        <x:v>1114.051521997708</x:v>
      </x:c>
      <x:c r="L25" s="52" t="str">
        <x:f>IF(I25&gt;=MAX(2,E25*0.5),"Дефицит",IF(H25&gt;=MAX(3,E25*0.75),"Избыток","Норма"))</x:f>
        <x:v>Норма</x:v>
      </x:c>
    </x:row>
    <x:row r="26">
      <x:c r="A26" s="48" t="str">
        <x:v>UM-005</x:v>
      </x:c>
      <x:c r="B26" s="48" t="str">
        <x:v>Платье-рубашка</x:v>
      </x:c>
      <x:c r="C26" s="48" t="str">
        <x:v>Платья</x:v>
      </x:c>
      <x:c r="D26" s="48" t="str">
        <x:v>XL</x:v>
      </x:c>
      <x:c r="E26" s="56" t="n">
        <x:v>4</x:v>
      </x:c>
      <x:c r="F26" s="60" t="n">
        <x:f>E26*1.5</x:f>
        <x:v>6</x:v>
      </x:c>
      <x:c r="G26" s="56" t="n">
        <x:v>8</x:v>
      </x:c>
      <x:c r="H26" s="60" t="n">
        <x:f>MAX(G26-F26,0)</x:f>
        <x:v>2</x:v>
      </x:c>
      <x:c r="I26" s="60" t="n">
        <x:f>MAX(F26-G26,0)</x:f>
        <x:v>0</x:v>
      </x:c>
      <x:c r="J26" s="56" t="n">
        <x:v>1114.051521997708</x:v>
      </x:c>
      <x:c r="K26" s="60" t="n">
        <x:f>H26*J26</x:f>
        <x:v>2228.103043995416</x:v>
      </x:c>
      <x:c r="L26" s="52" t="str">
        <x:f>IF(I26&gt;=MAX(2,E26*0.5),"Дефицит",IF(H26&gt;=MAX(3,E26*0.75),"Избыток","Норма"))</x:f>
        <x:v>Норма</x:v>
      </x:c>
    </x:row>
    <x:row r="27">
      <x:c r="A27" s="48" t="str">
        <x:v>UM-006</x:v>
      </x:c>
      <x:c r="B27" s="48" t="str">
        <x:v>Вечернее макси</x:v>
      </x:c>
      <x:c r="C27" s="48" t="str">
        <x:v>Платья</x:v>
      </x:c>
      <x:c r="D27" s="48" t="str">
        <x:v>XS</x:v>
      </x:c>
      <x:c r="E27" s="56" t="n">
        <x:v>1</x:v>
      </x:c>
      <x:c r="F27" s="60" t="n">
        <x:f>E27*1.5</x:f>
        <x:v>1.5</x:v>
      </x:c>
      <x:c r="G27" s="56" t="n">
        <x:v>1</x:v>
      </x:c>
      <x:c r="H27" s="60" t="n">
        <x:f>MAX(G27-F27,0)</x:f>
        <x:v>0</x:v>
      </x:c>
      <x:c r="I27" s="60" t="n">
        <x:f>MAX(F27-G27,0)</x:f>
        <x:v>0.5</x:v>
      </x:c>
      <x:c r="J27" s="56" t="n">
        <x:v>1212.9090016086986</x:v>
      </x:c>
      <x:c r="K27" s="60" t="n">
        <x:f>H27*J27</x:f>
        <x:v>0</x:v>
      </x:c>
      <x:c r="L27" s="52" t="str">
        <x:f>IF(I27&gt;=MAX(2,E27*0.5),"Дефицит",IF(H27&gt;=MAX(3,E27*0.75),"Избыток","Норма"))</x:f>
        <x:v>Норма</x:v>
      </x:c>
    </x:row>
    <x:row r="28">
      <x:c r="A28" s="48" t="str">
        <x:v>UM-006</x:v>
      </x:c>
      <x:c r="B28" s="48" t="str">
        <x:v>Вечернее макси</x:v>
      </x:c>
      <x:c r="C28" s="48" t="str">
        <x:v>Платья</x:v>
      </x:c>
      <x:c r="D28" s="48" t="str">
        <x:v>S</x:v>
      </x:c>
      <x:c r="E28" s="56" t="n">
        <x:v>2</x:v>
      </x:c>
      <x:c r="F28" s="60" t="n">
        <x:f>E28*1.5</x:f>
        <x:v>3</x:v>
      </x:c>
      <x:c r="G28" s="56" t="n">
        <x:v>4</x:v>
      </x:c>
      <x:c r="H28" s="60" t="n">
        <x:f>MAX(G28-F28,0)</x:f>
        <x:v>1</x:v>
      </x:c>
      <x:c r="I28" s="60" t="n">
        <x:f>MAX(F28-G28,0)</x:f>
        <x:v>0</x:v>
      </x:c>
      <x:c r="J28" s="56" t="n">
        <x:v>1212.9090016086986</x:v>
      </x:c>
      <x:c r="K28" s="60" t="n">
        <x:f>H28*J28</x:f>
        <x:v>1212.9090016086986</x:v>
      </x:c>
      <x:c r="L28" s="52" t="str">
        <x:f>IF(I28&gt;=MAX(2,E28*0.5),"Дефицит",IF(H28&gt;=MAX(3,E28*0.75),"Избыток","Норма"))</x:f>
        <x:v>Норма</x:v>
      </x:c>
    </x:row>
    <x:row r="29">
      <x:c r="A29" s="48" t="str">
        <x:v>UM-006</x:v>
      </x:c>
      <x:c r="B29" s="48" t="str">
        <x:v>Вечернее макси</x:v>
      </x:c>
      <x:c r="C29" s="48" t="str">
        <x:v>Платья</x:v>
      </x:c>
      <x:c r="D29" s="48" t="str">
        <x:v>M</x:v>
      </x:c>
      <x:c r="E29" s="56" t="n">
        <x:v>3</x:v>
      </x:c>
      <x:c r="F29" s="60" t="n">
        <x:f>E29*1.5</x:f>
        <x:v>4.5</x:v>
      </x:c>
      <x:c r="G29" s="56" t="n">
        <x:v>5</x:v>
      </x:c>
      <x:c r="H29" s="60" t="n">
        <x:f>MAX(G29-F29,0)</x:f>
        <x:v>0.5</x:v>
      </x:c>
      <x:c r="I29" s="60" t="n">
        <x:f>MAX(F29-G29,0)</x:f>
        <x:v>0</x:v>
      </x:c>
      <x:c r="J29" s="56" t="n">
        <x:v>1212.9090016086986</x:v>
      </x:c>
      <x:c r="K29" s="60" t="n">
        <x:f>H29*J29</x:f>
        <x:v>606.4545008043493</x:v>
      </x:c>
      <x:c r="L29" s="52" t="str">
        <x:f>IF(I29&gt;=MAX(2,E29*0.5),"Дефицит",IF(H29&gt;=MAX(3,E29*0.75),"Избыток","Норма"))</x:f>
        <x:v>Норма</x:v>
      </x:c>
    </x:row>
    <x:row r="30">
      <x:c r="A30" s="48" t="str">
        <x:v>UM-006</x:v>
      </x:c>
      <x:c r="B30" s="48" t="str">
        <x:v>Вечернее макси</x:v>
      </x:c>
      <x:c r="C30" s="48" t="str">
        <x:v>Платья</x:v>
      </x:c>
      <x:c r="D30" s="48" t="str">
        <x:v>L</x:v>
      </x:c>
      <x:c r="E30" s="56" t="n">
        <x:v>2</x:v>
      </x:c>
      <x:c r="F30" s="60" t="n">
        <x:f>E30*1.5</x:f>
        <x:v>3</x:v>
      </x:c>
      <x:c r="G30" s="56" t="n">
        <x:v>3</x:v>
      </x:c>
      <x:c r="H30" s="60" t="n">
        <x:f>MAX(G30-F30,0)</x:f>
        <x:v>0</x:v>
      </x:c>
      <x:c r="I30" s="60" t="n">
        <x:f>MAX(F30-G30,0)</x:f>
        <x:v>0</x:v>
      </x:c>
      <x:c r="J30" s="56" t="n">
        <x:v>1212.9090016086986</x:v>
      </x:c>
      <x:c r="K30" s="60" t="n">
        <x:f>H30*J30</x:f>
        <x:v>0</x:v>
      </x:c>
      <x:c r="L30" s="52" t="str">
        <x:f>IF(I30&gt;=MAX(2,E30*0.5),"Дефицит",IF(H30&gt;=MAX(3,E30*0.75),"Избыток","Норма"))</x:f>
        <x:v>Норма</x:v>
      </x:c>
    </x:row>
    <x:row r="31">
      <x:c r="A31" s="48" t="str">
        <x:v>UM-006</x:v>
      </x:c>
      <x:c r="B31" s="48" t="str">
        <x:v>Вечернее макси</x:v>
      </x:c>
      <x:c r="C31" s="48" t="str">
        <x:v>Платья</x:v>
      </x:c>
      <x:c r="D31" s="48" t="str">
        <x:v>XL</x:v>
      </x:c>
      <x:c r="E31" s="56" t="n">
        <x:v>2</x:v>
      </x:c>
      <x:c r="F31" s="60" t="n">
        <x:f>E31*1.5</x:f>
        <x:v>3</x:v>
      </x:c>
      <x:c r="G31" s="56" t="n">
        <x:v>1</x:v>
      </x:c>
      <x:c r="H31" s="60" t="n">
        <x:f>MAX(G31-F31,0)</x:f>
        <x:v>0</x:v>
      </x:c>
      <x:c r="I31" s="60" t="n">
        <x:f>MAX(F31-G31,0)</x:f>
        <x:v>2</x:v>
      </x:c>
      <x:c r="J31" s="56" t="n">
        <x:v>1212.9090016086986</x:v>
      </x:c>
      <x:c r="K31" s="60" t="n">
        <x:f>H31*J31</x:f>
        <x:v>0</x:v>
      </x:c>
      <x:c r="L31" s="52" t="str">
        <x:f>IF(I31&gt;=MAX(2,E31*0.5),"Дефицит",IF(H31&gt;=MAX(3,E31*0.75),"Избыток","Норма"))</x:f>
        <x:v>Дефицит</x:v>
      </x:c>
    </x:row>
    <x:row r="32">
      <x:c r="A32" s="48" t="str">
        <x:v>UM-007</x:v>
      </x:c>
      <x:c r="B32" s="48" t="str">
        <x:v>Платье с запахом</x:v>
      </x:c>
      <x:c r="C32" s="48" t="str">
        <x:v>Платья</x:v>
      </x:c>
      <x:c r="D32" s="48" t="str">
        <x:v>XS</x:v>
      </x:c>
      <x:c r="E32" s="56" t="n">
        <x:v>4</x:v>
      </x:c>
      <x:c r="F32" s="60" t="n">
        <x:f>E32*1.5</x:f>
        <x:v>6</x:v>
      </x:c>
      <x:c r="G32" s="56" t="n">
        <x:v>3</x:v>
      </x:c>
      <x:c r="H32" s="60" t="n">
        <x:f>MAX(G32-F32,0)</x:f>
        <x:v>0</x:v>
      </x:c>
      <x:c r="I32" s="60" t="n">
        <x:f>MAX(F32-G32,0)</x:f>
        <x:v>3</x:v>
      </x:c>
      <x:c r="J32" s="56" t="n">
        <x:v>1801.6393495910804</x:v>
      </x:c>
      <x:c r="K32" s="60" t="n">
        <x:f>H32*J32</x:f>
        <x:v>0</x:v>
      </x:c>
      <x:c r="L32" s="52" t="str">
        <x:f>IF(I32&gt;=MAX(2,E32*0.5),"Дефицит",IF(H32&gt;=MAX(3,E32*0.75),"Избыток","Норма"))</x:f>
        <x:v>Дефицит</x:v>
      </x:c>
    </x:row>
    <x:row r="33">
      <x:c r="A33" s="48" t="str">
        <x:v>UM-007</x:v>
      </x:c>
      <x:c r="B33" s="48" t="str">
        <x:v>Платье с запахом</x:v>
      </x:c>
      <x:c r="C33" s="48" t="str">
        <x:v>Платья</x:v>
      </x:c>
      <x:c r="D33" s="48" t="str">
        <x:v>S</x:v>
      </x:c>
      <x:c r="E33" s="56" t="n">
        <x:v>11</x:v>
      </x:c>
      <x:c r="F33" s="60" t="n">
        <x:f>E33*1.5</x:f>
        <x:v>16.5</x:v>
      </x:c>
      <x:c r="G33" s="56" t="n">
        <x:v>6</x:v>
      </x:c>
      <x:c r="H33" s="60" t="n">
        <x:f>MAX(G33-F33,0)</x:f>
        <x:v>0</x:v>
      </x:c>
      <x:c r="I33" s="60" t="n">
        <x:f>MAX(F33-G33,0)</x:f>
        <x:v>10.5</x:v>
      </x:c>
      <x:c r="J33" s="56" t="n">
        <x:v>1801.6393495910804</x:v>
      </x:c>
      <x:c r="K33" s="60" t="n">
        <x:f>H33*J33</x:f>
        <x:v>0</x:v>
      </x:c>
      <x:c r="L33" s="52" t="str">
        <x:f>IF(I33&gt;=MAX(2,E33*0.5),"Дефицит",IF(H33&gt;=MAX(3,E33*0.75),"Избыток","Норма"))</x:f>
        <x:v>Дефицит</x:v>
      </x:c>
    </x:row>
    <x:row r="34">
      <x:c r="A34" s="48" t="str">
        <x:v>UM-007</x:v>
      </x:c>
      <x:c r="B34" s="48" t="str">
        <x:v>Платье с запахом</x:v>
      </x:c>
      <x:c r="C34" s="48" t="str">
        <x:v>Платья</x:v>
      </x:c>
      <x:c r="D34" s="48" t="str">
        <x:v>M</x:v>
      </x:c>
      <x:c r="E34" s="56" t="n">
        <x:v>14</x:v>
      </x:c>
      <x:c r="F34" s="60" t="n">
        <x:f>E34*1.5</x:f>
        <x:v>21</x:v>
      </x:c>
      <x:c r="G34" s="56" t="n">
        <x:v>4</x:v>
      </x:c>
      <x:c r="H34" s="60" t="n">
        <x:f>MAX(G34-F34,0)</x:f>
        <x:v>0</x:v>
      </x:c>
      <x:c r="I34" s="60" t="n">
        <x:f>MAX(F34-G34,0)</x:f>
        <x:v>17</x:v>
      </x:c>
      <x:c r="J34" s="56" t="n">
        <x:v>1801.6393495910804</x:v>
      </x:c>
      <x:c r="K34" s="60" t="n">
        <x:f>H34*J34</x:f>
        <x:v>0</x:v>
      </x:c>
      <x:c r="L34" s="52" t="str">
        <x:f>IF(I34&gt;=MAX(2,E34*0.5),"Дефицит",IF(H34&gt;=MAX(3,E34*0.75),"Избыток","Норма"))</x:f>
        <x:v>Дефицит</x:v>
      </x:c>
    </x:row>
    <x:row r="35">
      <x:c r="A35" s="48" t="str">
        <x:v>UM-007</x:v>
      </x:c>
      <x:c r="B35" s="48" t="str">
        <x:v>Платье с запахом</x:v>
      </x:c>
      <x:c r="C35" s="48" t="str">
        <x:v>Платья</x:v>
      </x:c>
      <x:c r="D35" s="48" t="str">
        <x:v>L</x:v>
      </x:c>
      <x:c r="E35" s="56" t="n">
        <x:v>9</x:v>
      </x:c>
      <x:c r="F35" s="60" t="n">
        <x:f>E35*1.5</x:f>
        <x:v>13.5</x:v>
      </x:c>
      <x:c r="G35" s="56" t="n">
        <x:v>1</x:v>
      </x:c>
      <x:c r="H35" s="60" t="n">
        <x:f>MAX(G35-F35,0)</x:f>
        <x:v>0</x:v>
      </x:c>
      <x:c r="I35" s="60" t="n">
        <x:f>MAX(F35-G35,0)</x:f>
        <x:v>12.5</x:v>
      </x:c>
      <x:c r="J35" s="56" t="n">
        <x:v>1801.6393495910804</x:v>
      </x:c>
      <x:c r="K35" s="60" t="n">
        <x:f>H35*J35</x:f>
        <x:v>0</x:v>
      </x:c>
      <x:c r="L35" s="52" t="str">
        <x:f>IF(I35&gt;=MAX(2,E35*0.5),"Дефицит",IF(H35&gt;=MAX(3,E35*0.75),"Избыток","Норма"))</x:f>
        <x:v>Дефицит</x:v>
      </x:c>
    </x:row>
    <x:row r="36">
      <x:c r="A36" s="48" t="str">
        <x:v>UM-007</x:v>
      </x:c>
      <x:c r="B36" s="48" t="str">
        <x:v>Платье с запахом</x:v>
      </x:c>
      <x:c r="C36" s="48" t="str">
        <x:v>Платья</x:v>
      </x:c>
      <x:c r="D36" s="48" t="str">
        <x:v>XL</x:v>
      </x:c>
      <x:c r="E36" s="56" t="n">
        <x:v>5</x:v>
      </x:c>
      <x:c r="F36" s="60" t="n">
        <x:f>E36*1.5</x:f>
        <x:v>7.5</x:v>
      </x:c>
      <x:c r="G36" s="56" t="n">
        <x:v>8</x:v>
      </x:c>
      <x:c r="H36" s="60" t="n">
        <x:f>MAX(G36-F36,0)</x:f>
        <x:v>0.5</x:v>
      </x:c>
      <x:c r="I36" s="60" t="n">
        <x:f>MAX(F36-G36,0)</x:f>
        <x:v>0</x:v>
      </x:c>
      <x:c r="J36" s="56" t="n">
        <x:v>1801.6393495910804</x:v>
      </x:c>
      <x:c r="K36" s="60" t="n">
        <x:f>H36*J36</x:f>
        <x:v>900.8196747955402</x:v>
      </x:c>
      <x:c r="L36" s="52" t="str">
        <x:f>IF(I36&gt;=MAX(2,E36*0.5),"Дефицит",IF(H36&gt;=MAX(3,E36*0.75),"Избыток","Норма"))</x:f>
        <x:v>Норма</x:v>
      </x:c>
    </x:row>
    <x:row r="37">
      <x:c r="A37" s="48" t="str">
        <x:v>UM-008</x:v>
      </x:c>
      <x:c r="B37" s="48" t="str">
        <x:v>Мини жакетное</x:v>
      </x:c>
      <x:c r="C37" s="48" t="str">
        <x:v>Платья</x:v>
      </x:c>
      <x:c r="D37" s="48" t="str">
        <x:v>XS</x:v>
      </x:c>
      <x:c r="E37" s="56" t="n">
        <x:v>3</x:v>
      </x:c>
      <x:c r="F37" s="60" t="n">
        <x:f>E37*1.5</x:f>
        <x:v>4.5</x:v>
      </x:c>
      <x:c r="G37" s="56" t="n">
        <x:v>5</x:v>
      </x:c>
      <x:c r="H37" s="60" t="n">
        <x:f>MAX(G37-F37,0)</x:f>
        <x:v>0.5</x:v>
      </x:c>
      <x:c r="I37" s="60" t="n">
        <x:f>MAX(F37-G37,0)</x:f>
        <x:v>0</x:v>
      </x:c>
      <x:c r="J37" s="56" t="n">
        <x:v>906.723776021054</x:v>
      </x:c>
      <x:c r="K37" s="60" t="n">
        <x:f>H37*J37</x:f>
        <x:v>453.361888010527</x:v>
      </x:c>
      <x:c r="L37" s="52" t="str">
        <x:f>IF(I37&gt;=MAX(2,E37*0.5),"Дефицит",IF(H37&gt;=MAX(3,E37*0.75),"Избыток","Норма"))</x:f>
        <x:v>Норма</x:v>
      </x:c>
    </x:row>
    <x:row r="38">
      <x:c r="A38" s="48" t="str">
        <x:v>UM-008</x:v>
      </x:c>
      <x:c r="B38" s="48" t="str">
        <x:v>Мини жакетное</x:v>
      </x:c>
      <x:c r="C38" s="48" t="str">
        <x:v>Платья</x:v>
      </x:c>
      <x:c r="D38" s="48" t="str">
        <x:v>S</x:v>
      </x:c>
      <x:c r="E38" s="56" t="n">
        <x:v>5</x:v>
      </x:c>
      <x:c r="F38" s="60" t="n">
        <x:f>E38*1.5</x:f>
        <x:v>7.5</x:v>
      </x:c>
      <x:c r="G38" s="56" t="n">
        <x:v>7</x:v>
      </x:c>
      <x:c r="H38" s="60" t="n">
        <x:f>MAX(G38-F38,0)</x:f>
        <x:v>0</x:v>
      </x:c>
      <x:c r="I38" s="60" t="n">
        <x:f>MAX(F38-G38,0)</x:f>
        <x:v>0.5</x:v>
      </x:c>
      <x:c r="J38" s="56" t="n">
        <x:v>906.723776021054</x:v>
      </x:c>
      <x:c r="K38" s="60" t="n">
        <x:f>H38*J38</x:f>
        <x:v>0</x:v>
      </x:c>
      <x:c r="L38" s="52" t="str">
        <x:f>IF(I38&gt;=MAX(2,E38*0.5),"Дефицит",IF(H38&gt;=MAX(3,E38*0.75),"Избыток","Норма"))</x:f>
        <x:v>Норма</x:v>
      </x:c>
    </x:row>
    <x:row r="39">
      <x:c r="A39" s="48" t="str">
        <x:v>UM-008</x:v>
      </x:c>
      <x:c r="B39" s="48" t="str">
        <x:v>Мини жакетное</x:v>
      </x:c>
      <x:c r="C39" s="48" t="str">
        <x:v>Платья</x:v>
      </x:c>
      <x:c r="D39" s="48" t="str">
        <x:v>M</x:v>
      </x:c>
      <x:c r="E39" s="56" t="n">
        <x:v>8</x:v>
      </x:c>
      <x:c r="F39" s="60" t="n">
        <x:f>E39*1.5</x:f>
        <x:v>12</x:v>
      </x:c>
      <x:c r="G39" s="56" t="n">
        <x:v>8</x:v>
      </x:c>
      <x:c r="H39" s="60" t="n">
        <x:f>MAX(G39-F39,0)</x:f>
        <x:v>0</x:v>
      </x:c>
      <x:c r="I39" s="60" t="n">
        <x:f>MAX(F39-G39,0)</x:f>
        <x:v>4</x:v>
      </x:c>
      <x:c r="J39" s="56" t="n">
        <x:v>906.723776021054</x:v>
      </x:c>
      <x:c r="K39" s="60" t="n">
        <x:f>H39*J39</x:f>
        <x:v>0</x:v>
      </x:c>
      <x:c r="L39" s="52" t="str">
        <x:f>IF(I39&gt;=MAX(2,E39*0.5),"Дефицит",IF(H39&gt;=MAX(3,E39*0.75),"Избыток","Норма"))</x:f>
        <x:v>Дефицит</x:v>
      </x:c>
    </x:row>
    <x:row r="40">
      <x:c r="A40" s="48" t="str">
        <x:v>UM-008</x:v>
      </x:c>
      <x:c r="B40" s="48" t="str">
        <x:v>Мини жакетное</x:v>
      </x:c>
      <x:c r="C40" s="48" t="str">
        <x:v>Платья</x:v>
      </x:c>
      <x:c r="D40" s="48" t="str">
        <x:v>L</x:v>
      </x:c>
      <x:c r="E40" s="56" t="n">
        <x:v>5</x:v>
      </x:c>
      <x:c r="F40" s="60" t="n">
        <x:f>E40*1.5</x:f>
        <x:v>7.5</x:v>
      </x:c>
      <x:c r="G40" s="56" t="n">
        <x:v>9</x:v>
      </x:c>
      <x:c r="H40" s="60" t="n">
        <x:f>MAX(G40-F40,0)</x:f>
        <x:v>1.5</x:v>
      </x:c>
      <x:c r="I40" s="60" t="n">
        <x:f>MAX(F40-G40,0)</x:f>
        <x:v>0</x:v>
      </x:c>
      <x:c r="J40" s="56" t="n">
        <x:v>906.723776021054</x:v>
      </x:c>
      <x:c r="K40" s="60" t="n">
        <x:f>H40*J40</x:f>
        <x:v>1360.085664031581</x:v>
      </x:c>
      <x:c r="L40" s="52" t="str">
        <x:f>IF(I40&gt;=MAX(2,E40*0.5),"Дефицит",IF(H40&gt;=MAX(3,E40*0.75),"Избыток","Норма"))</x:f>
        <x:v>Норма</x:v>
      </x:c>
    </x:row>
    <x:row r="41">
      <x:c r="A41" s="48" t="str">
        <x:v>UM-008</x:v>
      </x:c>
      <x:c r="B41" s="48" t="str">
        <x:v>Мини жакетное</x:v>
      </x:c>
      <x:c r="C41" s="48" t="str">
        <x:v>Платья</x:v>
      </x:c>
      <x:c r="D41" s="48" t="str">
        <x:v>XL</x:v>
      </x:c>
      <x:c r="E41" s="56" t="n">
        <x:v>3</x:v>
      </x:c>
      <x:c r="F41" s="60" t="n">
        <x:f>E41*1.5</x:f>
        <x:v>4.5</x:v>
      </x:c>
      <x:c r="G41" s="56" t="n">
        <x:v>6</x:v>
      </x:c>
      <x:c r="H41" s="60" t="n">
        <x:f>MAX(G41-F41,0)</x:f>
        <x:v>1.5</x:v>
      </x:c>
      <x:c r="I41" s="60" t="n">
        <x:f>MAX(F41-G41,0)</x:f>
        <x:v>0</x:v>
      </x:c>
      <x:c r="J41" s="56" t="n">
        <x:v>906.723776021054</x:v>
      </x:c>
      <x:c r="K41" s="60" t="n">
        <x:f>H41*J41</x:f>
        <x:v>1360.085664031581</x:v>
      </x:c>
      <x:c r="L41" s="52" t="str">
        <x:f>IF(I41&gt;=MAX(2,E41*0.5),"Дефицит",IF(H41&gt;=MAX(3,E41*0.75),"Избыток","Норма"))</x:f>
        <x:v>Норма</x:v>
      </x:c>
    </x:row>
    <x:row r="42">
      <x:c r="A42" s="48" t="str">
        <x:v>UM-009</x:v>
      </x:c>
      <x:c r="B42" s="48" t="str">
        <x:v>Миди плиссе</x:v>
      </x:c>
      <x:c r="C42" s="48" t="str">
        <x:v>Платья</x:v>
      </x:c>
      <x:c r="D42" s="48" t="str">
        <x:v>XS</x:v>
      </x:c>
      <x:c r="E42" s="56" t="n">
        <x:v>2</x:v>
      </x:c>
      <x:c r="F42" s="60" t="n">
        <x:f>E42*1.5</x:f>
        <x:v>3</x:v>
      </x:c>
      <x:c r="G42" s="56" t="n">
        <x:v>1</x:v>
      </x:c>
      <x:c r="H42" s="60" t="n">
        <x:f>MAX(G42-F42,0)</x:f>
        <x:v>0</x:v>
      </x:c>
      <x:c r="I42" s="60" t="n">
        <x:f>MAX(F42-G42,0)</x:f>
        <x:v>2</x:v>
      </x:c>
      <x:c r="J42" s="56" t="n">
        <x:v>1192.2345287276617</x:v>
      </x:c>
      <x:c r="K42" s="60" t="n">
        <x:f>H42*J42</x:f>
        <x:v>0</x:v>
      </x:c>
      <x:c r="L42" s="52" t="str">
        <x:f>IF(I42&gt;=MAX(2,E42*0.5),"Дефицит",IF(H42&gt;=MAX(3,E42*0.75),"Избыток","Норма"))</x:f>
        <x:v>Дефицит</x:v>
      </x:c>
    </x:row>
    <x:row r="43">
      <x:c r="A43" s="48" t="str">
        <x:v>UM-009</x:v>
      </x:c>
      <x:c r="B43" s="48" t="str">
        <x:v>Миди плиссе</x:v>
      </x:c>
      <x:c r="C43" s="48" t="str">
        <x:v>Платья</x:v>
      </x:c>
      <x:c r="D43" s="48" t="str">
        <x:v>S</x:v>
      </x:c>
      <x:c r="E43" s="56" t="n">
        <x:v>5</x:v>
      </x:c>
      <x:c r="F43" s="60" t="n">
        <x:f>E43*1.5</x:f>
        <x:v>7.5</x:v>
      </x:c>
      <x:c r="G43" s="56" t="n">
        <x:v>2</x:v>
      </x:c>
      <x:c r="H43" s="60" t="n">
        <x:f>MAX(G43-F43,0)</x:f>
        <x:v>0</x:v>
      </x:c>
      <x:c r="I43" s="60" t="n">
        <x:f>MAX(F43-G43,0)</x:f>
        <x:v>5.5</x:v>
      </x:c>
      <x:c r="J43" s="56" t="n">
        <x:v>1192.2345287276617</x:v>
      </x:c>
      <x:c r="K43" s="60" t="n">
        <x:f>H43*J43</x:f>
        <x:v>0</x:v>
      </x:c>
      <x:c r="L43" s="52" t="str">
        <x:f>IF(I43&gt;=MAX(2,E43*0.5),"Дефицит",IF(H43&gt;=MAX(3,E43*0.75),"Избыток","Норма"))</x:f>
        <x:v>Дефицит</x:v>
      </x:c>
    </x:row>
    <x:row r="44">
      <x:c r="A44" s="48" t="str">
        <x:v>UM-009</x:v>
      </x:c>
      <x:c r="B44" s="48" t="str">
        <x:v>Миди плиссе</x:v>
      </x:c>
      <x:c r="C44" s="48" t="str">
        <x:v>Платья</x:v>
      </x:c>
      <x:c r="D44" s="48" t="str">
        <x:v>M</x:v>
      </x:c>
      <x:c r="E44" s="56" t="n">
        <x:v>6</x:v>
      </x:c>
      <x:c r="F44" s="60" t="n">
        <x:f>E44*1.5</x:f>
        <x:v>9</x:v>
      </x:c>
      <x:c r="G44" s="56" t="n">
        <x:v>3</x:v>
      </x:c>
      <x:c r="H44" s="60" t="n">
        <x:f>MAX(G44-F44,0)</x:f>
        <x:v>0</x:v>
      </x:c>
      <x:c r="I44" s="60" t="n">
        <x:f>MAX(F44-G44,0)</x:f>
        <x:v>6</x:v>
      </x:c>
      <x:c r="J44" s="56" t="n">
        <x:v>1192.2345287276617</x:v>
      </x:c>
      <x:c r="K44" s="60" t="n">
        <x:f>H44*J44</x:f>
        <x:v>0</x:v>
      </x:c>
      <x:c r="L44" s="52" t="str">
        <x:f>IF(I44&gt;=MAX(2,E44*0.5),"Дефицит",IF(H44&gt;=MAX(3,E44*0.75),"Избыток","Норма"))</x:f>
        <x:v>Дефицит</x:v>
      </x:c>
    </x:row>
    <x:row r="45">
      <x:c r="A45" s="48" t="str">
        <x:v>UM-009</x:v>
      </x:c>
      <x:c r="B45" s="48" t="str">
        <x:v>Миди плиссе</x:v>
      </x:c>
      <x:c r="C45" s="48" t="str">
        <x:v>Платья</x:v>
      </x:c>
      <x:c r="D45" s="48" t="str">
        <x:v>L</x:v>
      </x:c>
      <x:c r="E45" s="56" t="n">
        <x:v>5</x:v>
      </x:c>
      <x:c r="F45" s="60" t="n">
        <x:f>E45*1.5</x:f>
        <x:v>7.5</x:v>
      </x:c>
      <x:c r="G45" s="56" t="n">
        <x:v>1</x:v>
      </x:c>
      <x:c r="H45" s="60" t="n">
        <x:f>MAX(G45-F45,0)</x:f>
        <x:v>0</x:v>
      </x:c>
      <x:c r="I45" s="60" t="n">
        <x:f>MAX(F45-G45,0)</x:f>
        <x:v>6.5</x:v>
      </x:c>
      <x:c r="J45" s="56" t="n">
        <x:v>1192.2345287276617</x:v>
      </x:c>
      <x:c r="K45" s="60" t="n">
        <x:f>H45*J45</x:f>
        <x:v>0</x:v>
      </x:c>
      <x:c r="L45" s="52" t="str">
        <x:f>IF(I45&gt;=MAX(2,E45*0.5),"Дефицит",IF(H45&gt;=MAX(3,E45*0.75),"Избыток","Норма"))</x:f>
        <x:v>Дефицит</x:v>
      </x:c>
    </x:row>
    <x:row r="46">
      <x:c r="A46" s="48" t="str">
        <x:v>UM-009</x:v>
      </x:c>
      <x:c r="B46" s="48" t="str">
        <x:v>Миди плиссе</x:v>
      </x:c>
      <x:c r="C46" s="48" t="str">
        <x:v>Платья</x:v>
      </x:c>
      <x:c r="D46" s="48" t="str">
        <x:v>XL</x:v>
      </x:c>
      <x:c r="E46" s="56" t="n">
        <x:v>2</x:v>
      </x:c>
      <x:c r="F46" s="60" t="n">
        <x:f>E46*1.5</x:f>
        <x:v>3</x:v>
      </x:c>
      <x:c r="G46" s="56" t="n">
        <x:v>4</x:v>
      </x:c>
      <x:c r="H46" s="60" t="n">
        <x:f>MAX(G46-F46,0)</x:f>
        <x:v>1</x:v>
      </x:c>
      <x:c r="I46" s="60" t="n">
        <x:f>MAX(F46-G46,0)</x:f>
        <x:v>0</x:v>
      </x:c>
      <x:c r="J46" s="56" t="n">
        <x:v>1192.2345287276617</x:v>
      </x:c>
      <x:c r="K46" s="60" t="n">
        <x:f>H46*J46</x:f>
        <x:v>1192.2345287276617</x:v>
      </x:c>
      <x:c r="L46" s="52" t="str">
        <x:f>IF(I46&gt;=MAX(2,E46*0.5),"Дефицит",IF(H46&gt;=MAX(3,E46*0.75),"Избыток","Норма"))</x:f>
        <x:v>Норма</x:v>
      </x:c>
    </x:row>
    <x:row r="47">
      <x:c r="A47" s="48" t="str">
        <x:v>UM-010</x:v>
      </x:c>
      <x:c r="B47" s="48" t="str">
        <x:v>Платье с рукавом</x:v>
      </x:c>
      <x:c r="C47" s="48" t="str">
        <x:v>Платья</x:v>
      </x:c>
      <x:c r="D47" s="48" t="str">
        <x:v>XS</x:v>
      </x:c>
      <x:c r="E47" s="56" t="n">
        <x:v>2</x:v>
      </x:c>
      <x:c r="F47" s="60" t="n">
        <x:f>E47*1.5</x:f>
        <x:v>3</x:v>
      </x:c>
      <x:c r="G47" s="56" t="n">
        <x:v>5</x:v>
      </x:c>
      <x:c r="H47" s="60" t="n">
        <x:f>MAX(G47-F47,0)</x:f>
        <x:v>2</x:v>
      </x:c>
      <x:c r="I47" s="60" t="n">
        <x:f>MAX(F47-G47,0)</x:f>
        <x:v>0</x:v>
      </x:c>
      <x:c r="J47" s="56" t="n">
        <x:v>1783.0764988184856</x:v>
      </x:c>
      <x:c r="K47" s="60" t="n">
        <x:f>H47*J47</x:f>
        <x:v>3566.152997636971</x:v>
      </x:c>
      <x:c r="L47" s="52" t="str">
        <x:f>IF(I47&gt;=MAX(2,E47*0.5),"Дефицит",IF(H47&gt;=MAX(3,E47*0.75),"Избыток","Норма"))</x:f>
        <x:v>Норма</x:v>
      </x:c>
    </x:row>
    <x:row r="48">
      <x:c r="A48" s="48" t="str">
        <x:v>UM-010</x:v>
      </x:c>
      <x:c r="B48" s="48" t="str">
        <x:v>Платье с рукавом</x:v>
      </x:c>
      <x:c r="C48" s="48" t="str">
        <x:v>Платья</x:v>
      </x:c>
      <x:c r="D48" s="48" t="str">
        <x:v>S</x:v>
      </x:c>
      <x:c r="E48" s="56" t="n">
        <x:v>7</x:v>
      </x:c>
      <x:c r="F48" s="60" t="n">
        <x:f>E48*1.5</x:f>
        <x:v>10.5</x:v>
      </x:c>
      <x:c r="G48" s="56" t="n">
        <x:v>10</x:v>
      </x:c>
      <x:c r="H48" s="60" t="n">
        <x:f>MAX(G48-F48,0)</x:f>
        <x:v>0</x:v>
      </x:c>
      <x:c r="I48" s="60" t="n">
        <x:f>MAX(F48-G48,0)</x:f>
        <x:v>0.5</x:v>
      </x:c>
      <x:c r="J48" s="56" t="n">
        <x:v>1783.0764988184856</x:v>
      </x:c>
      <x:c r="K48" s="60" t="n">
        <x:f>H48*J48</x:f>
        <x:v>0</x:v>
      </x:c>
      <x:c r="L48" s="52" t="str">
        <x:f>IF(I48&gt;=MAX(2,E48*0.5),"Дефицит",IF(H48&gt;=MAX(3,E48*0.75),"Избыток","Норма"))</x:f>
        <x:v>Норма</x:v>
      </x:c>
    </x:row>
    <x:row r="49">
      <x:c r="A49" s="48" t="str">
        <x:v>UM-010</x:v>
      </x:c>
      <x:c r="B49" s="48" t="str">
        <x:v>Платье с рукавом</x:v>
      </x:c>
      <x:c r="C49" s="48" t="str">
        <x:v>Платья</x:v>
      </x:c>
      <x:c r="D49" s="48" t="str">
        <x:v>M</x:v>
      </x:c>
      <x:c r="E49" s="56" t="n">
        <x:v>7</x:v>
      </x:c>
      <x:c r="F49" s="60" t="n">
        <x:f>E49*1.5</x:f>
        <x:v>10.5</x:v>
      </x:c>
      <x:c r="G49" s="56" t="n">
        <x:v>15</x:v>
      </x:c>
      <x:c r="H49" s="60" t="n">
        <x:f>MAX(G49-F49,0)</x:f>
        <x:v>4.5</x:v>
      </x:c>
      <x:c r="I49" s="60" t="n">
        <x:f>MAX(F49-G49,0)</x:f>
        <x:v>0</x:v>
      </x:c>
      <x:c r="J49" s="56" t="n">
        <x:v>1783.0764988184856</x:v>
      </x:c>
      <x:c r="K49" s="60" t="n">
        <x:f>H49*J49</x:f>
        <x:v>8023.844244683185</x:v>
      </x:c>
      <x:c r="L49" s="52" t="str">
        <x:f>IF(I49&gt;=MAX(2,E49*0.5),"Дефицит",IF(H49&gt;=MAX(3,E49*0.75),"Избыток","Норма"))</x:f>
        <x:v>Норма</x:v>
      </x:c>
    </x:row>
    <x:row r="50">
      <x:c r="A50" s="48" t="str">
        <x:v>UM-010</x:v>
      </x:c>
      <x:c r="B50" s="48" t="str">
        <x:v>Платье с рукавом</x:v>
      </x:c>
      <x:c r="C50" s="48" t="str">
        <x:v>Платья</x:v>
      </x:c>
      <x:c r="D50" s="48" t="str">
        <x:v>L</x:v>
      </x:c>
      <x:c r="E50" s="56" t="n">
        <x:v>6</x:v>
      </x:c>
      <x:c r="F50" s="60" t="n">
        <x:f>E50*1.5</x:f>
        <x:v>9</x:v>
      </x:c>
      <x:c r="G50" s="56" t="n">
        <x:v>9</x:v>
      </x:c>
      <x:c r="H50" s="60" t="n">
        <x:f>MAX(G50-F50,0)</x:f>
        <x:v>0</x:v>
      </x:c>
      <x:c r="I50" s="60" t="n">
        <x:f>MAX(F50-G50,0)</x:f>
        <x:v>0</x:v>
      </x:c>
      <x:c r="J50" s="56" t="n">
        <x:v>1783.0764988184856</x:v>
      </x:c>
      <x:c r="K50" s="60" t="n">
        <x:f>H50*J50</x:f>
        <x:v>0</x:v>
      </x:c>
      <x:c r="L50" s="52" t="str">
        <x:f>IF(I50&gt;=MAX(2,E50*0.5),"Дефицит",IF(H50&gt;=MAX(3,E50*0.75),"Избыток","Норма"))</x:f>
        <x:v>Норма</x:v>
      </x:c>
    </x:row>
    <x:row r="51">
      <x:c r="A51" s="48" t="str">
        <x:v>UM-010</x:v>
      </x:c>
      <x:c r="B51" s="48" t="str">
        <x:v>Платье с рукавом</x:v>
      </x:c>
      <x:c r="C51" s="48" t="str">
        <x:v>Платья</x:v>
      </x:c>
      <x:c r="D51" s="48" t="str">
        <x:v>XL</x:v>
      </x:c>
      <x:c r="E51" s="56" t="n">
        <x:v>3</x:v>
      </x:c>
      <x:c r="F51" s="60" t="n">
        <x:f>E51*1.5</x:f>
        <x:v>4.5</x:v>
      </x:c>
      <x:c r="G51" s="56" t="n">
        <x:v>5</x:v>
      </x:c>
      <x:c r="H51" s="60" t="n">
        <x:f>MAX(G51-F51,0)</x:f>
        <x:v>0.5</x:v>
      </x:c>
      <x:c r="I51" s="60" t="n">
        <x:f>MAX(F51-G51,0)</x:f>
        <x:v>0</x:v>
      </x:c>
      <x:c r="J51" s="56" t="n">
        <x:v>1783.0764988184856</x:v>
      </x:c>
      <x:c r="K51" s="60" t="n">
        <x:f>H51*J51</x:f>
        <x:v>891.5382494092428</x:v>
      </x:c>
      <x:c r="L51" s="52" t="str">
        <x:f>IF(I51&gt;=MAX(2,E51*0.5),"Дефицит",IF(H51&gt;=MAX(3,E51*0.75),"Избыток","Норма"))</x:f>
        <x:v>Норма</x:v>
      </x:c>
    </x:row>
    <x:row r="52">
      <x:c r="A52" s="48" t="str">
        <x:v>UM-011</x:v>
      </x:c>
      <x:c r="B52" s="48" t="str">
        <x:v>Брючный классик</x:v>
      </x:c>
      <x:c r="C52" s="48" t="str">
        <x:v>Костюмы</x:v>
      </x:c>
      <x:c r="D52" s="48" t="str">
        <x:v>XS</x:v>
      </x:c>
      <x:c r="E52" s="56" t="n">
        <x:v>1</x:v>
      </x:c>
      <x:c r="F52" s="60" t="n">
        <x:f>E52*1.5</x:f>
        <x:v>1.5</x:v>
      </x:c>
      <x:c r="G52" s="56" t="n">
        <x:v>11</x:v>
      </x:c>
      <x:c r="H52" s="60" t="n">
        <x:f>MAX(G52-F52,0)</x:f>
        <x:v>9.5</x:v>
      </x:c>
      <x:c r="I52" s="60" t="n">
        <x:f>MAX(F52-G52,0)</x:f>
        <x:v>0</x:v>
      </x:c>
      <x:c r="J52" s="56" t="n">
        <x:v>1787.560170202464</x:v>
      </x:c>
      <x:c r="K52" s="60" t="n">
        <x:f>H52*J52</x:f>
        <x:v>16981.821616923407</x:v>
      </x:c>
      <x:c r="L52" s="52" t="str">
        <x:f>IF(I52&gt;=MAX(2,E52*0.5),"Дефицит",IF(H52&gt;=MAX(3,E52*0.75),"Избыток","Норма"))</x:f>
        <x:v>Избыток</x:v>
      </x:c>
    </x:row>
    <x:row r="53">
      <x:c r="A53" s="48" t="str">
        <x:v>UM-011</x:v>
      </x:c>
      <x:c r="B53" s="48" t="str">
        <x:v>Брючный классик</x:v>
      </x:c>
      <x:c r="C53" s="48" t="str">
        <x:v>Костюмы</x:v>
      </x:c>
      <x:c r="D53" s="48" t="str">
        <x:v>S</x:v>
      </x:c>
      <x:c r="E53" s="56" t="n">
        <x:v>5</x:v>
      </x:c>
      <x:c r="F53" s="60" t="n">
        <x:f>E53*1.5</x:f>
        <x:v>7.5</x:v>
      </x:c>
      <x:c r="G53" s="56" t="n">
        <x:v>7</x:v>
      </x:c>
      <x:c r="H53" s="60" t="n">
        <x:f>MAX(G53-F53,0)</x:f>
        <x:v>0</x:v>
      </x:c>
      <x:c r="I53" s="60" t="n">
        <x:f>MAX(F53-G53,0)</x:f>
        <x:v>0.5</x:v>
      </x:c>
      <x:c r="J53" s="56" t="n">
        <x:v>1787.560170202464</x:v>
      </x:c>
      <x:c r="K53" s="60" t="n">
        <x:f>H53*J53</x:f>
        <x:v>0</x:v>
      </x:c>
      <x:c r="L53" s="52" t="str">
        <x:f>IF(I53&gt;=MAX(2,E53*0.5),"Дефицит",IF(H53&gt;=MAX(3,E53*0.75),"Избыток","Норма"))</x:f>
        <x:v>Норма</x:v>
      </x:c>
    </x:row>
    <x:row r="54">
      <x:c r="A54" s="48" t="str">
        <x:v>UM-011</x:v>
      </x:c>
      <x:c r="B54" s="48" t="str">
        <x:v>Брючный классик</x:v>
      </x:c>
      <x:c r="C54" s="48" t="str">
        <x:v>Костюмы</x:v>
      </x:c>
      <x:c r="D54" s="48" t="str">
        <x:v>M</x:v>
      </x:c>
      <x:c r="E54" s="56" t="n">
        <x:v>4</x:v>
      </x:c>
      <x:c r="F54" s="60" t="n">
        <x:f>E54*1.5</x:f>
        <x:v>6</x:v>
      </x:c>
      <x:c r="G54" s="56" t="n">
        <x:v>16</x:v>
      </x:c>
      <x:c r="H54" s="60" t="n">
        <x:f>MAX(G54-F54,0)</x:f>
        <x:v>10</x:v>
      </x:c>
      <x:c r="I54" s="60" t="n">
        <x:f>MAX(F54-G54,0)</x:f>
        <x:v>0</x:v>
      </x:c>
      <x:c r="J54" s="56" t="n">
        <x:v>1787.560170202464</x:v>
      </x:c>
      <x:c r="K54" s="60" t="n">
        <x:f>H54*J54</x:f>
        <x:v>17875.60170202464</x:v>
      </x:c>
      <x:c r="L54" s="52" t="str">
        <x:f>IF(I54&gt;=MAX(2,E54*0.5),"Дефицит",IF(H54&gt;=MAX(3,E54*0.75),"Избыток","Норма"))</x:f>
        <x:v>Избыток</x:v>
      </x:c>
    </x:row>
    <x:row r="55">
      <x:c r="A55" s="48" t="str">
        <x:v>UM-011</x:v>
      </x:c>
      <x:c r="B55" s="48" t="str">
        <x:v>Брючный классик</x:v>
      </x:c>
      <x:c r="C55" s="48" t="str">
        <x:v>Костюмы</x:v>
      </x:c>
      <x:c r="D55" s="48" t="str">
        <x:v>L</x:v>
      </x:c>
      <x:c r="E55" s="56" t="n">
        <x:v>3</x:v>
      </x:c>
      <x:c r="F55" s="60" t="n">
        <x:f>E55*1.5</x:f>
        <x:v>4.5</x:v>
      </x:c>
      <x:c r="G55" s="56" t="n">
        <x:v>11</x:v>
      </x:c>
      <x:c r="H55" s="60" t="n">
        <x:f>MAX(G55-F55,0)</x:f>
        <x:v>6.5</x:v>
      </x:c>
      <x:c r="I55" s="60" t="n">
        <x:f>MAX(F55-G55,0)</x:f>
        <x:v>0</x:v>
      </x:c>
      <x:c r="J55" s="56" t="n">
        <x:v>1787.560170202464</x:v>
      </x:c>
      <x:c r="K55" s="60" t="n">
        <x:f>H55*J55</x:f>
        <x:v>11619.141106316016</x:v>
      </x:c>
      <x:c r="L55" s="52" t="str">
        <x:f>IF(I55&gt;=MAX(2,E55*0.5),"Дефицит",IF(H55&gt;=MAX(3,E55*0.75),"Избыток","Норма"))</x:f>
        <x:v>Избыток</x:v>
      </x:c>
    </x:row>
    <x:row r="56">
      <x:c r="A56" s="48" t="str">
        <x:v>UM-011</x:v>
      </x:c>
      <x:c r="B56" s="48" t="str">
        <x:v>Брючный классик</x:v>
      </x:c>
      <x:c r="C56" s="48" t="str">
        <x:v>Костюмы</x:v>
      </x:c>
      <x:c r="D56" s="48" t="str">
        <x:v>XL</x:v>
      </x:c>
      <x:c r="E56" s="56" t="n">
        <x:v>2</x:v>
      </x:c>
      <x:c r="F56" s="60" t="n">
        <x:f>E56*1.5</x:f>
        <x:v>3</x:v>
      </x:c>
      <x:c r="G56" s="56" t="n">
        <x:v>12</x:v>
      </x:c>
      <x:c r="H56" s="60" t="n">
        <x:f>MAX(G56-F56,0)</x:f>
        <x:v>9</x:v>
      </x:c>
      <x:c r="I56" s="60" t="n">
        <x:f>MAX(F56-G56,0)</x:f>
        <x:v>0</x:v>
      </x:c>
      <x:c r="J56" s="56" t="n">
        <x:v>1787.560170202464</x:v>
      </x:c>
      <x:c r="K56" s="60" t="n">
        <x:f>H56*J56</x:f>
        <x:v>16088.041531822175</x:v>
      </x:c>
      <x:c r="L56" s="52" t="str">
        <x:f>IF(I56&gt;=MAX(2,E56*0.5),"Дефицит",IF(H56&gt;=MAX(3,E56*0.75),"Избыток","Норма"))</x:f>
        <x:v>Избыток</x:v>
      </x:c>
    </x:row>
    <x:row r="57">
      <x:c r="A57" s="48" t="str">
        <x:v>UM-012</x:v>
      </x:c>
      <x:c r="B57" s="48" t="str">
        <x:v>Трикотажный комплект</x:v>
      </x:c>
      <x:c r="C57" s="48" t="str">
        <x:v>Костюмы</x:v>
      </x:c>
      <x:c r="D57" s="48" t="str">
        <x:v>XS</x:v>
      </x:c>
      <x:c r="E57" s="56" t="n">
        <x:v>4</x:v>
      </x:c>
      <x:c r="F57" s="60" t="n">
        <x:f>E57*1.5</x:f>
        <x:v>6</x:v>
      </x:c>
      <x:c r="G57" s="56" t="n">
        <x:v>7</x:v>
      </x:c>
      <x:c r="H57" s="60" t="n">
        <x:f>MAX(G57-F57,0)</x:f>
        <x:v>1</x:v>
      </x:c>
      <x:c r="I57" s="60" t="n">
        <x:f>MAX(F57-G57,0)</x:f>
        <x:v>0</x:v>
      </x:c>
      <x:c r="J57" s="56" t="n">
        <x:v>2179.2175981386</x:v>
      </x:c>
      <x:c r="K57" s="60" t="n">
        <x:f>H57*J57</x:f>
        <x:v>2179.2175981386</x:v>
      </x:c>
      <x:c r="L57" s="52" t="str">
        <x:f>IF(I57&gt;=MAX(2,E57*0.5),"Дефицит",IF(H57&gt;=MAX(3,E57*0.75),"Избыток","Норма"))</x:f>
        <x:v>Норма</x:v>
      </x:c>
    </x:row>
    <x:row r="58">
      <x:c r="A58" s="48" t="str">
        <x:v>UM-012</x:v>
      </x:c>
      <x:c r="B58" s="48" t="str">
        <x:v>Трикотажный комплект</x:v>
      </x:c>
      <x:c r="C58" s="48" t="str">
        <x:v>Костюмы</x:v>
      </x:c>
      <x:c r="D58" s="48" t="str">
        <x:v>S</x:v>
      </x:c>
      <x:c r="E58" s="56" t="n">
        <x:v>9</x:v>
      </x:c>
      <x:c r="F58" s="60" t="n">
        <x:f>E58*1.5</x:f>
        <x:v>13.5</x:v>
      </x:c>
      <x:c r="G58" s="56" t="n">
        <x:v>4</x:v>
      </x:c>
      <x:c r="H58" s="60" t="n">
        <x:f>MAX(G58-F58,0)</x:f>
        <x:v>0</x:v>
      </x:c>
      <x:c r="I58" s="60" t="n">
        <x:f>MAX(F58-G58,0)</x:f>
        <x:v>9.5</x:v>
      </x:c>
      <x:c r="J58" s="56" t="n">
        <x:v>2179.2175981386</x:v>
      </x:c>
      <x:c r="K58" s="60" t="n">
        <x:f>H58*J58</x:f>
        <x:v>0</x:v>
      </x:c>
      <x:c r="L58" s="52" t="str">
        <x:f>IF(I58&gt;=MAX(2,E58*0.5),"Дефицит",IF(H58&gt;=MAX(3,E58*0.75),"Избыток","Норма"))</x:f>
        <x:v>Дефицит</x:v>
      </x:c>
    </x:row>
    <x:row r="59">
      <x:c r="A59" s="48" t="str">
        <x:v>UM-012</x:v>
      </x:c>
      <x:c r="B59" s="48" t="str">
        <x:v>Трикотажный комплект</x:v>
      </x:c>
      <x:c r="C59" s="48" t="str">
        <x:v>Костюмы</x:v>
      </x:c>
      <x:c r="D59" s="48" t="str">
        <x:v>M</x:v>
      </x:c>
      <x:c r="E59" s="56" t="n">
        <x:v>13</x:v>
      </x:c>
      <x:c r="F59" s="60" t="n">
        <x:f>E59*1.5</x:f>
        <x:v>19.5</x:v>
      </x:c>
      <x:c r="G59" s="56" t="n">
        <x:v>2</x:v>
      </x:c>
      <x:c r="H59" s="60" t="n">
        <x:f>MAX(G59-F59,0)</x:f>
        <x:v>0</x:v>
      </x:c>
      <x:c r="I59" s="60" t="n">
        <x:f>MAX(F59-G59,0)</x:f>
        <x:v>17.5</x:v>
      </x:c>
      <x:c r="J59" s="56" t="n">
        <x:v>2179.2175981386</x:v>
      </x:c>
      <x:c r="K59" s="60" t="n">
        <x:f>H59*J59</x:f>
        <x:v>0</x:v>
      </x:c>
      <x:c r="L59" s="52" t="str">
        <x:f>IF(I59&gt;=MAX(2,E59*0.5),"Дефицит",IF(H59&gt;=MAX(3,E59*0.75),"Избыток","Норма"))</x:f>
        <x:v>Дефицит</x:v>
      </x:c>
    </x:row>
    <x:row r="60">
      <x:c r="A60" s="48" t="str">
        <x:v>UM-012</x:v>
      </x:c>
      <x:c r="B60" s="48" t="str">
        <x:v>Трикотажный комплект</x:v>
      </x:c>
      <x:c r="C60" s="48" t="str">
        <x:v>Костюмы</x:v>
      </x:c>
      <x:c r="D60" s="48" t="str">
        <x:v>L</x:v>
      </x:c>
      <x:c r="E60" s="56" t="n">
        <x:v>9</x:v>
      </x:c>
      <x:c r="F60" s="60" t="n">
        <x:f>E60*1.5</x:f>
        <x:v>13.5</x:v>
      </x:c>
      <x:c r="G60" s="56" t="n">
        <x:v>4</x:v>
      </x:c>
      <x:c r="H60" s="60" t="n">
        <x:f>MAX(G60-F60,0)</x:f>
        <x:v>0</x:v>
      </x:c>
      <x:c r="I60" s="60" t="n">
        <x:f>MAX(F60-G60,0)</x:f>
        <x:v>9.5</x:v>
      </x:c>
      <x:c r="J60" s="56" t="n">
        <x:v>2179.2175981386</x:v>
      </x:c>
      <x:c r="K60" s="60" t="n">
        <x:f>H60*J60</x:f>
        <x:v>0</x:v>
      </x:c>
      <x:c r="L60" s="52" t="str">
        <x:f>IF(I60&gt;=MAX(2,E60*0.5),"Дефицит",IF(H60&gt;=MAX(3,E60*0.75),"Избыток","Норма"))</x:f>
        <x:v>Дефицит</x:v>
      </x:c>
    </x:row>
    <x:row r="61">
      <x:c r="A61" s="48" t="str">
        <x:v>UM-012</x:v>
      </x:c>
      <x:c r="B61" s="48" t="str">
        <x:v>Трикотажный комплект</x:v>
      </x:c>
      <x:c r="C61" s="48" t="str">
        <x:v>Костюмы</x:v>
      </x:c>
      <x:c r="D61" s="48" t="str">
        <x:v>XL</x:v>
      </x:c>
      <x:c r="E61" s="56" t="n">
        <x:v>4</x:v>
      </x:c>
      <x:c r="F61" s="60" t="n">
        <x:f>E61*1.5</x:f>
        <x:v>6</x:v>
      </x:c>
      <x:c r="G61" s="56" t="n">
        <x:v>10</x:v>
      </x:c>
      <x:c r="H61" s="60" t="n">
        <x:f>MAX(G61-F61,0)</x:f>
        <x:v>4</x:v>
      </x:c>
      <x:c r="I61" s="60" t="n">
        <x:f>MAX(F61-G61,0)</x:f>
        <x:v>0</x:v>
      </x:c>
      <x:c r="J61" s="56" t="n">
        <x:v>2179.2175981386</x:v>
      </x:c>
      <x:c r="K61" s="60" t="n">
        <x:f>H61*J61</x:f>
        <x:v>8716.8703925544</x:v>
      </x:c>
      <x:c r="L61" s="52" t="str">
        <x:f>IF(I61&gt;=MAX(2,E61*0.5),"Дефицит",IF(H61&gt;=MAX(3,E61*0.75),"Избыток","Норма"))</x:f>
        <x:v>Избыток</x:v>
      </x:c>
    </x:row>
    <x:row r="62">
      <x:c r="A62" s="48" t="str">
        <x:v>UM-013</x:v>
      </x:c>
      <x:c r="B62" s="48" t="str">
        <x:v>Костюм-тройка</x:v>
      </x:c>
      <x:c r="C62" s="48" t="str">
        <x:v>Костюмы</x:v>
      </x:c>
      <x:c r="D62" s="48" t="str">
        <x:v>XS</x:v>
      </x:c>
      <x:c r="E62" s="56" t="n">
        <x:v>2</x:v>
      </x:c>
      <x:c r="F62" s="60" t="n">
        <x:f>E62*1.5</x:f>
        <x:v>3</x:v>
      </x:c>
      <x:c r="G62" s="56" t="n">
        <x:v>15</x:v>
      </x:c>
      <x:c r="H62" s="60" t="n">
        <x:f>MAX(G62-F62,0)</x:f>
        <x:v>12</x:v>
      </x:c>
      <x:c r="I62" s="60" t="n">
        <x:f>MAX(F62-G62,0)</x:f>
        <x:v>0</x:v>
      </x:c>
      <x:c r="J62" s="56" t="n">
        <x:v>1533.7374249077684</x:v>
      </x:c>
      <x:c r="K62" s="60" t="n">
        <x:f>H62*J62</x:f>
        <x:v>18404.84909889322</x:v>
      </x:c>
      <x:c r="L62" s="52" t="str">
        <x:f>IF(I62&gt;=MAX(2,E62*0.5),"Дефицит",IF(H62&gt;=MAX(3,E62*0.75),"Избыток","Норма"))</x:f>
        <x:v>Избыток</x:v>
      </x:c>
    </x:row>
    <x:row r="63">
      <x:c r="A63" s="48" t="str">
        <x:v>UM-013</x:v>
      </x:c>
      <x:c r="B63" s="48" t="str">
        <x:v>Костюм-тройка</x:v>
      </x:c>
      <x:c r="C63" s="48" t="str">
        <x:v>Костюмы</x:v>
      </x:c>
      <x:c r="D63" s="48" t="str">
        <x:v>S</x:v>
      </x:c>
      <x:c r="E63" s="56" t="n">
        <x:v>5</x:v>
      </x:c>
      <x:c r="F63" s="60" t="n">
        <x:f>E63*1.5</x:f>
        <x:v>7.5</x:v>
      </x:c>
      <x:c r="G63" s="56" t="n">
        <x:v>15</x:v>
      </x:c>
      <x:c r="H63" s="60" t="n">
        <x:f>MAX(G63-F63,0)</x:f>
        <x:v>7.5</x:v>
      </x:c>
      <x:c r="I63" s="60" t="n">
        <x:f>MAX(F63-G63,0)</x:f>
        <x:v>0</x:v>
      </x:c>
      <x:c r="J63" s="56" t="n">
        <x:v>1533.7374249077684</x:v>
      </x:c>
      <x:c r="K63" s="60" t="n">
        <x:f>H63*J63</x:f>
        <x:v>11503.030686808263</x:v>
      </x:c>
      <x:c r="L63" s="52" t="str">
        <x:f>IF(I63&gt;=MAX(2,E63*0.5),"Дефицит",IF(H63&gt;=MAX(3,E63*0.75),"Избыток","Норма"))</x:f>
        <x:v>Избыток</x:v>
      </x:c>
    </x:row>
    <x:row r="64">
      <x:c r="A64" s="48" t="str">
        <x:v>UM-013</x:v>
      </x:c>
      <x:c r="B64" s="48" t="str">
        <x:v>Костюм-тройка</x:v>
      </x:c>
      <x:c r="C64" s="48" t="str">
        <x:v>Костюмы</x:v>
      </x:c>
      <x:c r="D64" s="48" t="str">
        <x:v>M</x:v>
      </x:c>
      <x:c r="E64" s="56" t="n">
        <x:v>7</x:v>
      </x:c>
      <x:c r="F64" s="60" t="n">
        <x:f>E64*1.5</x:f>
        <x:v>10.5</x:v>
      </x:c>
      <x:c r="G64" s="56" t="n">
        <x:v>15</x:v>
      </x:c>
      <x:c r="H64" s="60" t="n">
        <x:f>MAX(G64-F64,0)</x:f>
        <x:v>4.5</x:v>
      </x:c>
      <x:c r="I64" s="60" t="n">
        <x:f>MAX(F64-G64,0)</x:f>
        <x:v>0</x:v>
      </x:c>
      <x:c r="J64" s="56" t="n">
        <x:v>1533.7374249077684</x:v>
      </x:c>
      <x:c r="K64" s="60" t="n">
        <x:f>H64*J64</x:f>
        <x:v>6901.818412084958</x:v>
      </x:c>
      <x:c r="L64" s="52" t="str">
        <x:f>IF(I64&gt;=MAX(2,E64*0.5),"Дефицит",IF(H64&gt;=MAX(3,E64*0.75),"Избыток","Норма"))</x:f>
        <x:v>Норма</x:v>
      </x:c>
    </x:row>
    <x:row r="65">
      <x:c r="A65" s="48" t="str">
        <x:v>UM-013</x:v>
      </x:c>
      <x:c r="B65" s="48" t="str">
        <x:v>Костюм-тройка</x:v>
      </x:c>
      <x:c r="C65" s="48" t="str">
        <x:v>Костюмы</x:v>
      </x:c>
      <x:c r="D65" s="48" t="str">
        <x:v>L</x:v>
      </x:c>
      <x:c r="E65" s="56" t="n">
        <x:v>6</x:v>
      </x:c>
      <x:c r="F65" s="60" t="n">
        <x:f>E65*1.5</x:f>
        <x:v>9</x:v>
      </x:c>
      <x:c r="G65" s="56" t="n">
        <x:v>15</x:v>
      </x:c>
      <x:c r="H65" s="60" t="n">
        <x:f>MAX(G65-F65,0)</x:f>
        <x:v>6</x:v>
      </x:c>
      <x:c r="I65" s="60" t="n">
        <x:f>MAX(F65-G65,0)</x:f>
        <x:v>0</x:v>
      </x:c>
      <x:c r="J65" s="56" t="n">
        <x:v>1533.7374249077684</x:v>
      </x:c>
      <x:c r="K65" s="60" t="n">
        <x:f>H65*J65</x:f>
        <x:v>9202.42454944661</x:v>
      </x:c>
      <x:c r="L65" s="52" t="str">
        <x:f>IF(I65&gt;=MAX(2,E65*0.5),"Дефицит",IF(H65&gt;=MAX(3,E65*0.75),"Избыток","Норма"))</x:f>
        <x:v>Избыток</x:v>
      </x:c>
    </x:row>
    <x:row r="66">
      <x:c r="A66" s="48" t="str">
        <x:v>UM-013</x:v>
      </x:c>
      <x:c r="B66" s="48" t="str">
        <x:v>Костюм-тройка</x:v>
      </x:c>
      <x:c r="C66" s="48" t="str">
        <x:v>Костюмы</x:v>
      </x:c>
      <x:c r="D66" s="48" t="str">
        <x:v>XL</x:v>
      </x:c>
      <x:c r="E66" s="56" t="n">
        <x:v>2</x:v>
      </x:c>
      <x:c r="F66" s="60" t="n">
        <x:f>E66*1.5</x:f>
        <x:v>3</x:v>
      </x:c>
      <x:c r="G66" s="56" t="n">
        <x:v>10</x:v>
      </x:c>
      <x:c r="H66" s="60" t="n">
        <x:f>MAX(G66-F66,0)</x:f>
        <x:v>7</x:v>
      </x:c>
      <x:c r="I66" s="60" t="n">
        <x:f>MAX(F66-G66,0)</x:f>
        <x:v>0</x:v>
      </x:c>
      <x:c r="J66" s="56" t="n">
        <x:v>1533.7374249077684</x:v>
      </x:c>
      <x:c r="K66" s="60" t="n">
        <x:f>H66*J66</x:f>
        <x:v>10736.161974354378</x:v>
      </x:c>
      <x:c r="L66" s="52" t="str">
        <x:f>IF(I66&gt;=MAX(2,E66*0.5),"Дефицит",IF(H66&gt;=MAX(3,E66*0.75),"Избыток","Норма"))</x:f>
        <x:v>Избыток</x:v>
      </x:c>
    </x:row>
    <x:row r="67">
      <x:c r="A67" s="48" t="str">
        <x:v>UM-014</x:v>
      </x:c>
      <x:c r="B67" s="48" t="str">
        <x:v>Жакет и юбка</x:v>
      </x:c>
      <x:c r="C67" s="48" t="str">
        <x:v>Костюмы</x:v>
      </x:c>
      <x:c r="D67" s="48" t="str">
        <x:v>XS</x:v>
      </x:c>
      <x:c r="E67" s="56" t="n">
        <x:v>2</x:v>
      </x:c>
      <x:c r="F67" s="60" t="n">
        <x:f>E67*1.5</x:f>
        <x:v>3</x:v>
      </x:c>
      <x:c r="G67" s="56" t="n">
        <x:v>4</x:v>
      </x:c>
      <x:c r="H67" s="60" t="n">
        <x:f>MAX(G67-F67,0)</x:f>
        <x:v>1</x:v>
      </x:c>
      <x:c r="I67" s="60" t="n">
        <x:f>MAX(F67-G67,0)</x:f>
        <x:v>0</x:v>
      </x:c>
      <x:c r="J67" s="56" t="n">
        <x:v>1925.9075375026255</x:v>
      </x:c>
      <x:c r="K67" s="60" t="n">
        <x:f>H67*J67</x:f>
        <x:v>1925.9075375026255</x:v>
      </x:c>
      <x:c r="L67" s="52" t="str">
        <x:f>IF(I67&gt;=MAX(2,E67*0.5),"Дефицит",IF(H67&gt;=MAX(3,E67*0.75),"Избыток","Норма"))</x:f>
        <x:v>Норма</x:v>
      </x:c>
    </x:row>
    <x:row r="68">
      <x:c r="A68" s="48" t="str">
        <x:v>UM-014</x:v>
      </x:c>
      <x:c r="B68" s="48" t="str">
        <x:v>Жакет и юбка</x:v>
      </x:c>
      <x:c r="C68" s="48" t="str">
        <x:v>Костюмы</x:v>
      </x:c>
      <x:c r="D68" s="48" t="str">
        <x:v>S</x:v>
      </x:c>
      <x:c r="E68" s="56" t="n">
        <x:v>4</x:v>
      </x:c>
      <x:c r="F68" s="60" t="n">
        <x:f>E68*1.5</x:f>
        <x:v>6</x:v>
      </x:c>
      <x:c r="G68" s="56" t="n">
        <x:v>8</x:v>
      </x:c>
      <x:c r="H68" s="60" t="n">
        <x:f>MAX(G68-F68,0)</x:f>
        <x:v>2</x:v>
      </x:c>
      <x:c r="I68" s="60" t="n">
        <x:f>MAX(F68-G68,0)</x:f>
        <x:v>0</x:v>
      </x:c>
      <x:c r="J68" s="56" t="n">
        <x:v>1925.9075375026255</x:v>
      </x:c>
      <x:c r="K68" s="60" t="n">
        <x:f>H68*J68</x:f>
        <x:v>3851.815075005251</x:v>
      </x:c>
      <x:c r="L68" s="52" t="str">
        <x:f>IF(I68&gt;=MAX(2,E68*0.5),"Дефицит",IF(H68&gt;=MAX(3,E68*0.75),"Избыток","Норма"))</x:f>
        <x:v>Норма</x:v>
      </x:c>
    </x:row>
    <x:row r="69">
      <x:c r="A69" s="48" t="str">
        <x:v>UM-014</x:v>
      </x:c>
      <x:c r="B69" s="48" t="str">
        <x:v>Жакет и юбка</x:v>
      </x:c>
      <x:c r="C69" s="48" t="str">
        <x:v>Костюмы</x:v>
      </x:c>
      <x:c r="D69" s="48" t="str">
        <x:v>M</x:v>
      </x:c>
      <x:c r="E69" s="56" t="n">
        <x:v>6</x:v>
      </x:c>
      <x:c r="F69" s="60" t="n">
        <x:f>E69*1.5</x:f>
        <x:v>9</x:v>
      </x:c>
      <x:c r="G69" s="56" t="n">
        <x:v>13</x:v>
      </x:c>
      <x:c r="H69" s="60" t="n">
        <x:f>MAX(G69-F69,0)</x:f>
        <x:v>4</x:v>
      </x:c>
      <x:c r="I69" s="60" t="n">
        <x:f>MAX(F69-G69,0)</x:f>
        <x:v>0</x:v>
      </x:c>
      <x:c r="J69" s="56" t="n">
        <x:v>1925.9075375026255</x:v>
      </x:c>
      <x:c r="K69" s="60" t="n">
        <x:f>H69*J69</x:f>
        <x:v>7703.630150010502</x:v>
      </x:c>
      <x:c r="L69" s="52" t="str">
        <x:f>IF(I69&gt;=MAX(2,E69*0.5),"Дефицит",IF(H69&gt;=MAX(3,E69*0.75),"Избыток","Норма"))</x:f>
        <x:v>Норма</x:v>
      </x:c>
    </x:row>
    <x:row r="70">
      <x:c r="A70" s="48" t="str">
        <x:v>UM-014</x:v>
      </x:c>
      <x:c r="B70" s="48" t="str">
        <x:v>Жакет и юбка</x:v>
      </x:c>
      <x:c r="C70" s="48" t="str">
        <x:v>Костюмы</x:v>
      </x:c>
      <x:c r="D70" s="48" t="str">
        <x:v>L</x:v>
      </x:c>
      <x:c r="E70" s="56" t="n">
        <x:v>5</x:v>
      </x:c>
      <x:c r="F70" s="60" t="n">
        <x:f>E70*1.5</x:f>
        <x:v>7.5</x:v>
      </x:c>
      <x:c r="G70" s="56" t="n">
        <x:v>8</x:v>
      </x:c>
      <x:c r="H70" s="60" t="n">
        <x:f>MAX(G70-F70,0)</x:f>
        <x:v>0.5</x:v>
      </x:c>
      <x:c r="I70" s="60" t="n">
        <x:f>MAX(F70-G70,0)</x:f>
        <x:v>0</x:v>
      </x:c>
      <x:c r="J70" s="56" t="n">
        <x:v>1925.9075375026255</x:v>
      </x:c>
      <x:c r="K70" s="60" t="n">
        <x:f>H70*J70</x:f>
        <x:v>962.9537687513127</x:v>
      </x:c>
      <x:c r="L70" s="52" t="str">
        <x:f>IF(I70&gt;=MAX(2,E70*0.5),"Дефицит",IF(H70&gt;=MAX(3,E70*0.75),"Избыток","Норма"))</x:f>
        <x:v>Норма</x:v>
      </x:c>
    </x:row>
    <x:row r="71">
      <x:c r="A71" s="48" t="str">
        <x:v>UM-014</x:v>
      </x:c>
      <x:c r="B71" s="48" t="str">
        <x:v>Жакет и юбка</x:v>
      </x:c>
      <x:c r="C71" s="48" t="str">
        <x:v>Костюмы</x:v>
      </x:c>
      <x:c r="D71" s="48" t="str">
        <x:v>XL</x:v>
      </x:c>
      <x:c r="E71" s="56" t="n">
        <x:v>3</x:v>
      </x:c>
      <x:c r="F71" s="60" t="n">
        <x:f>E71*1.5</x:f>
        <x:v>4.5</x:v>
      </x:c>
      <x:c r="G71" s="56" t="n">
        <x:v>7</x:v>
      </x:c>
      <x:c r="H71" s="60" t="n">
        <x:f>MAX(G71-F71,0)</x:f>
        <x:v>2.5</x:v>
      </x:c>
      <x:c r="I71" s="60" t="n">
        <x:f>MAX(F71-G71,0)</x:f>
        <x:v>0</x:v>
      </x:c>
      <x:c r="J71" s="56" t="n">
        <x:v>1925.9075375026255</x:v>
      </x:c>
      <x:c r="K71" s="60" t="n">
        <x:f>H71*J71</x:f>
        <x:v>4814.768843756564</x:v>
      </x:c>
      <x:c r="L71" s="52" t="str">
        <x:f>IF(I71&gt;=MAX(2,E71*0.5),"Дефицит",IF(H71&gt;=MAX(3,E71*0.75),"Избыток","Норма"))</x:f>
        <x:v>Норма</x:v>
      </x:c>
    </x:row>
    <x:row r="72">
      <x:c r="A72" s="48" t="str">
        <x:v>UM-015</x:v>
      </x:c>
      <x:c r="B72" s="48" t="str">
        <x:v>Льняной комплект</x:v>
      </x:c>
      <x:c r="C72" s="48" t="str">
        <x:v>Костюмы</x:v>
      </x:c>
      <x:c r="D72" s="48" t="str">
        <x:v>XS</x:v>
      </x:c>
      <x:c r="E72" s="56" t="n">
        <x:v>3</x:v>
      </x:c>
      <x:c r="F72" s="60" t="n">
        <x:f>E72*1.5</x:f>
        <x:v>4.5</x:v>
      </x:c>
      <x:c r="G72" s="56" t="n">
        <x:v>11</x:v>
      </x:c>
      <x:c r="H72" s="60" t="n">
        <x:f>MAX(G72-F72,0)</x:f>
        <x:v>6.5</x:v>
      </x:c>
      <x:c r="I72" s="60" t="n">
        <x:f>MAX(F72-G72,0)</x:f>
        <x:v>0</x:v>
      </x:c>
      <x:c r="J72" s="56" t="n">
        <x:v>1705.6335729821078</x:v>
      </x:c>
      <x:c r="K72" s="60" t="n">
        <x:f>H72*J72</x:f>
        <x:v>11086.618224383701</x:v>
      </x:c>
      <x:c r="L72" s="52" t="str">
        <x:f>IF(I72&gt;=MAX(2,E72*0.5),"Дефицит",IF(H72&gt;=MAX(3,E72*0.75),"Избыток","Норма"))</x:f>
        <x:v>Избыток</x:v>
      </x:c>
    </x:row>
    <x:row r="73">
      <x:c r="A73" s="48" t="str">
        <x:v>UM-015</x:v>
      </x:c>
      <x:c r="B73" s="48" t="str">
        <x:v>Льняной комплект</x:v>
      </x:c>
      <x:c r="C73" s="48" t="str">
        <x:v>Костюмы</x:v>
      </x:c>
      <x:c r="D73" s="48" t="str">
        <x:v>S</x:v>
      </x:c>
      <x:c r="E73" s="56" t="n">
        <x:v>6</x:v>
      </x:c>
      <x:c r="F73" s="60" t="n">
        <x:f>E73*1.5</x:f>
        <x:v>9</x:v>
      </x:c>
      <x:c r="G73" s="56" t="n">
        <x:v>20</x:v>
      </x:c>
      <x:c r="H73" s="60" t="n">
        <x:f>MAX(G73-F73,0)</x:f>
        <x:v>11</x:v>
      </x:c>
      <x:c r="I73" s="60" t="n">
        <x:f>MAX(F73-G73,0)</x:f>
        <x:v>0</x:v>
      </x:c>
      <x:c r="J73" s="56" t="n">
        <x:v>1705.6335729821078</x:v>
      </x:c>
      <x:c r="K73" s="60" t="n">
        <x:f>H73*J73</x:f>
        <x:v>18761.969302803187</x:v>
      </x:c>
      <x:c r="L73" s="52" t="str">
        <x:f>IF(I73&gt;=MAX(2,E73*0.5),"Дефицит",IF(H73&gt;=MAX(3,E73*0.75),"Избыток","Норма"))</x:f>
        <x:v>Избыток</x:v>
      </x:c>
    </x:row>
    <x:row r="74">
      <x:c r="A74" s="48" t="str">
        <x:v>UM-015</x:v>
      </x:c>
      <x:c r="B74" s="48" t="str">
        <x:v>Льняной комплект</x:v>
      </x:c>
      <x:c r="C74" s="48" t="str">
        <x:v>Костюмы</x:v>
      </x:c>
      <x:c r="D74" s="48" t="str">
        <x:v>M</x:v>
      </x:c>
      <x:c r="E74" s="56" t="n">
        <x:v>7</x:v>
      </x:c>
      <x:c r="F74" s="60" t="n">
        <x:f>E74*1.5</x:f>
        <x:v>10.5</x:v>
      </x:c>
      <x:c r="G74" s="56" t="n">
        <x:v>21</x:v>
      </x:c>
      <x:c r="H74" s="60" t="n">
        <x:f>MAX(G74-F74,0)</x:f>
        <x:v>10.5</x:v>
      </x:c>
      <x:c r="I74" s="60" t="n">
        <x:f>MAX(F74-G74,0)</x:f>
        <x:v>0</x:v>
      </x:c>
      <x:c r="J74" s="56" t="n">
        <x:v>1705.6335729821078</x:v>
      </x:c>
      <x:c r="K74" s="60" t="n">
        <x:f>H74*J74</x:f>
        <x:v>17909.152516312133</x:v>
      </x:c>
      <x:c r="L74" s="52" t="str">
        <x:f>IF(I74&gt;=MAX(2,E74*0.5),"Дефицит",IF(H74&gt;=MAX(3,E74*0.75),"Избыток","Норма"))</x:f>
        <x:v>Избыток</x:v>
      </x:c>
    </x:row>
    <x:row r="75">
      <x:c r="A75" s="48" t="str">
        <x:v>UM-015</x:v>
      </x:c>
      <x:c r="B75" s="48" t="str">
        <x:v>Льняной комплект</x:v>
      </x:c>
      <x:c r="C75" s="48" t="str">
        <x:v>Костюмы</x:v>
      </x:c>
      <x:c r="D75" s="48" t="str">
        <x:v>L</x:v>
      </x:c>
      <x:c r="E75" s="56" t="n">
        <x:v>5</x:v>
      </x:c>
      <x:c r="F75" s="60" t="n">
        <x:f>E75*1.5</x:f>
        <x:v>7.5</x:v>
      </x:c>
      <x:c r="G75" s="56" t="n">
        <x:v>11</x:v>
      </x:c>
      <x:c r="H75" s="60" t="n">
        <x:f>MAX(G75-F75,0)</x:f>
        <x:v>3.5</x:v>
      </x:c>
      <x:c r="I75" s="60" t="n">
        <x:f>MAX(F75-G75,0)</x:f>
        <x:v>0</x:v>
      </x:c>
      <x:c r="J75" s="56" t="n">
        <x:v>1705.6335729821078</x:v>
      </x:c>
      <x:c r="K75" s="60" t="n">
        <x:f>H75*J75</x:f>
        <x:v>5969.717505437377</x:v>
      </x:c>
      <x:c r="L75" s="52" t="str">
        <x:f>IF(I75&gt;=MAX(2,E75*0.5),"Дефицит",IF(H75&gt;=MAX(3,E75*0.75),"Избыток","Норма"))</x:f>
        <x:v>Норма</x:v>
      </x:c>
    </x:row>
    <x:row r="76">
      <x:c r="A76" s="48" t="str">
        <x:v>UM-015</x:v>
      </x:c>
      <x:c r="B76" s="48" t="str">
        <x:v>Льняной комплект</x:v>
      </x:c>
      <x:c r="C76" s="48" t="str">
        <x:v>Костюмы</x:v>
      </x:c>
      <x:c r="D76" s="48" t="str">
        <x:v>XL</x:v>
      </x:c>
      <x:c r="E76" s="56" t="n">
        <x:v>4</x:v>
      </x:c>
      <x:c r="F76" s="60" t="n">
        <x:f>E76*1.5</x:f>
        <x:v>6</x:v>
      </x:c>
      <x:c r="G76" s="56" t="n">
        <x:v>19</x:v>
      </x:c>
      <x:c r="H76" s="60" t="n">
        <x:f>MAX(G76-F76,0)</x:f>
        <x:v>13</x:v>
      </x:c>
      <x:c r="I76" s="60" t="n">
        <x:f>MAX(F76-G76,0)</x:f>
        <x:v>0</x:v>
      </x:c>
      <x:c r="J76" s="56" t="n">
        <x:v>1705.6335729821078</x:v>
      </x:c>
      <x:c r="K76" s="60" t="n">
        <x:f>H76*J76</x:f>
        <x:v>22173.236448767402</x:v>
      </x:c>
      <x:c r="L76" s="52" t="str">
        <x:f>IF(I76&gt;=MAX(2,E76*0.5),"Дефицит",IF(H76&gt;=MAX(3,E76*0.75),"Избыток","Норма"))</x:f>
        <x:v>Избыток</x:v>
      </x:c>
    </x:row>
    <x:row r="77">
      <x:c r="A77" s="48" t="str">
        <x:v>UM-016</x:v>
      </x:c>
      <x:c r="B77" s="48" t="str">
        <x:v>Костюм oversize</x:v>
      </x:c>
      <x:c r="C77" s="48" t="str">
        <x:v>Костюмы</x:v>
      </x:c>
      <x:c r="D77" s="48" t="str">
        <x:v>XS</x:v>
      </x:c>
      <x:c r="E77" s="56" t="n">
        <x:v>1</x:v>
      </x:c>
      <x:c r="F77" s="60" t="n">
        <x:f>E77*1.5</x:f>
        <x:v>1.5</x:v>
      </x:c>
      <x:c r="G77" s="56" t="n">
        <x:v>1</x:v>
      </x:c>
      <x:c r="H77" s="60" t="n">
        <x:f>MAX(G77-F77,0)</x:f>
        <x:v>0</x:v>
      </x:c>
      <x:c r="I77" s="60" t="n">
        <x:f>MAX(F77-G77,0)</x:f>
        <x:v>0.5</x:v>
      </x:c>
      <x:c r="J77" s="56" t="n">
        <x:v>1876.5477220127987</x:v>
      </x:c>
      <x:c r="K77" s="60" t="n">
        <x:f>H77*J77</x:f>
        <x:v>0</x:v>
      </x:c>
      <x:c r="L77" s="52" t="str">
        <x:f>IF(I77&gt;=MAX(2,E77*0.5),"Дефицит",IF(H77&gt;=MAX(3,E77*0.75),"Избыток","Норма"))</x:f>
        <x:v>Норма</x:v>
      </x:c>
    </x:row>
    <x:row r="78">
      <x:c r="A78" s="48" t="str">
        <x:v>UM-016</x:v>
      </x:c>
      <x:c r="B78" s="48" t="str">
        <x:v>Костюм oversize</x:v>
      </x:c>
      <x:c r="C78" s="48" t="str">
        <x:v>Костюмы</x:v>
      </x:c>
      <x:c r="D78" s="48" t="str">
        <x:v>S</x:v>
      </x:c>
      <x:c r="E78" s="56" t="n">
        <x:v>3</x:v>
      </x:c>
      <x:c r="F78" s="60" t="n">
        <x:f>E78*1.5</x:f>
        <x:v>4.5</x:v>
      </x:c>
      <x:c r="G78" s="56" t="n">
        <x:v>7</x:v>
      </x:c>
      <x:c r="H78" s="60" t="n">
        <x:f>MAX(G78-F78,0)</x:f>
        <x:v>2.5</x:v>
      </x:c>
      <x:c r="I78" s="60" t="n">
        <x:f>MAX(F78-G78,0)</x:f>
        <x:v>0</x:v>
      </x:c>
      <x:c r="J78" s="56" t="n">
        <x:v>1876.5477220127987</x:v>
      </x:c>
      <x:c r="K78" s="60" t="n">
        <x:f>H78*J78</x:f>
        <x:v>4691.369305031996</x:v>
      </x:c>
      <x:c r="L78" s="52" t="str">
        <x:f>IF(I78&gt;=MAX(2,E78*0.5),"Дефицит",IF(H78&gt;=MAX(3,E78*0.75),"Избыток","Норма"))</x:f>
        <x:v>Норма</x:v>
      </x:c>
    </x:row>
    <x:row r="79">
      <x:c r="A79" s="48" t="str">
        <x:v>UM-016</x:v>
      </x:c>
      <x:c r="B79" s="48" t="str">
        <x:v>Костюм oversize</x:v>
      </x:c>
      <x:c r="C79" s="48" t="str">
        <x:v>Костюмы</x:v>
      </x:c>
      <x:c r="D79" s="48" t="str">
        <x:v>M</x:v>
      </x:c>
      <x:c r="E79" s="56" t="n">
        <x:v>4</x:v>
      </x:c>
      <x:c r="F79" s="60" t="n">
        <x:f>E79*1.5</x:f>
        <x:v>6</x:v>
      </x:c>
      <x:c r="G79" s="56" t="n">
        <x:v>10</x:v>
      </x:c>
      <x:c r="H79" s="60" t="n">
        <x:f>MAX(G79-F79,0)</x:f>
        <x:v>4</x:v>
      </x:c>
      <x:c r="I79" s="60" t="n">
        <x:f>MAX(F79-G79,0)</x:f>
        <x:v>0</x:v>
      </x:c>
      <x:c r="J79" s="56" t="n">
        <x:v>1876.5477220127987</x:v>
      </x:c>
      <x:c r="K79" s="60" t="n">
        <x:f>H79*J79</x:f>
        <x:v>7506.190888051195</x:v>
      </x:c>
      <x:c r="L79" s="52" t="str">
        <x:f>IF(I79&gt;=MAX(2,E79*0.5),"Дефицит",IF(H79&gt;=MAX(3,E79*0.75),"Избыток","Норма"))</x:f>
        <x:v>Избыток</x:v>
      </x:c>
    </x:row>
    <x:row r="80">
      <x:c r="A80" s="48" t="str">
        <x:v>UM-016</x:v>
      </x:c>
      <x:c r="B80" s="48" t="str">
        <x:v>Костюм oversize</x:v>
      </x:c>
      <x:c r="C80" s="48" t="str">
        <x:v>Костюмы</x:v>
      </x:c>
      <x:c r="D80" s="48" t="str">
        <x:v>L</x:v>
      </x:c>
      <x:c r="E80" s="56" t="n">
        <x:v>4</x:v>
      </x:c>
      <x:c r="F80" s="60" t="n">
        <x:f>E80*1.5</x:f>
        <x:v>6</x:v>
      </x:c>
      <x:c r="G80" s="56" t="n">
        <x:v>3</x:v>
      </x:c>
      <x:c r="H80" s="60" t="n">
        <x:f>MAX(G80-F80,0)</x:f>
        <x:v>0</x:v>
      </x:c>
      <x:c r="I80" s="60" t="n">
        <x:f>MAX(F80-G80,0)</x:f>
        <x:v>3</x:v>
      </x:c>
      <x:c r="J80" s="56" t="n">
        <x:v>1876.5477220127987</x:v>
      </x:c>
      <x:c r="K80" s="60" t="n">
        <x:f>H80*J80</x:f>
        <x:v>0</x:v>
      </x:c>
      <x:c r="L80" s="52" t="str">
        <x:f>IF(I80&gt;=MAX(2,E80*0.5),"Дефицит",IF(H80&gt;=MAX(3,E80*0.75),"Избыток","Норма"))</x:f>
        <x:v>Дефицит</x:v>
      </x:c>
    </x:row>
    <x:row r="81">
      <x:c r="A81" s="48" t="str">
        <x:v>UM-016</x:v>
      </x:c>
      <x:c r="B81" s="48" t="str">
        <x:v>Костюм oversize</x:v>
      </x:c>
      <x:c r="C81" s="48" t="str">
        <x:v>Костюмы</x:v>
      </x:c>
      <x:c r="D81" s="48" t="str">
        <x:v>XL</x:v>
      </x:c>
      <x:c r="E81" s="56" t="n">
        <x:v>2</x:v>
      </x:c>
      <x:c r="F81" s="60" t="n">
        <x:f>E81*1.5</x:f>
        <x:v>3</x:v>
      </x:c>
      <x:c r="G81" s="56" t="n">
        <x:v>3</x:v>
      </x:c>
      <x:c r="H81" s="60" t="n">
        <x:f>MAX(G81-F81,0)</x:f>
        <x:v>0</x:v>
      </x:c>
      <x:c r="I81" s="60" t="n">
        <x:f>MAX(F81-G81,0)</x:f>
        <x:v>0</x:v>
      </x:c>
      <x:c r="J81" s="56" t="n">
        <x:v>1876.5477220127987</x:v>
      </x:c>
      <x:c r="K81" s="60" t="n">
        <x:f>H81*J81</x:f>
        <x:v>0</x:v>
      </x:c>
      <x:c r="L81" s="52" t="str">
        <x:f>IF(I81&gt;=MAX(2,E81*0.5),"Дефицит",IF(H81&gt;=MAX(3,E81*0.75),"Избыток","Норма"))</x:f>
        <x:v>Норма</x:v>
      </x:c>
    </x:row>
    <x:row r="82">
      <x:c r="A82" s="48" t="str">
        <x:v>UM-017</x:v>
      </x:c>
      <x:c r="B82" s="48" t="str">
        <x:v>Офисный комплект</x:v>
      </x:c>
      <x:c r="C82" s="48" t="str">
        <x:v>Костюмы</x:v>
      </x:c>
      <x:c r="D82" s="48" t="str">
        <x:v>XS</x:v>
      </x:c>
      <x:c r="E82" s="56" t="n">
        <x:v>4</x:v>
      </x:c>
      <x:c r="F82" s="60" t="n">
        <x:f>E82*1.5</x:f>
        <x:v>6</x:v>
      </x:c>
      <x:c r="G82" s="56" t="n">
        <x:v>23</x:v>
      </x:c>
      <x:c r="H82" s="60" t="n">
        <x:f>MAX(G82-F82,0)</x:f>
        <x:v>17</x:v>
      </x:c>
      <x:c r="I82" s="60" t="n">
        <x:f>MAX(F82-G82,0)</x:f>
        <x:v>0</x:v>
      </x:c>
      <x:c r="J82" s="56" t="n">
        <x:v>1485.1849431588098</x:v>
      </x:c>
      <x:c r="K82" s="60" t="n">
        <x:f>H82*J82</x:f>
        <x:v>25248.144033699766</x:v>
      </x:c>
      <x:c r="L82" s="52" t="str">
        <x:f>IF(I82&gt;=MAX(2,E82*0.5),"Дефицит",IF(H82&gt;=MAX(3,E82*0.75),"Избыток","Норма"))</x:f>
        <x:v>Избыток</x:v>
      </x:c>
    </x:row>
    <x:row r="83">
      <x:c r="A83" s="48" t="str">
        <x:v>UM-017</x:v>
      </x:c>
      <x:c r="B83" s="48" t="str">
        <x:v>Офисный комплект</x:v>
      </x:c>
      <x:c r="C83" s="48" t="str">
        <x:v>Костюмы</x:v>
      </x:c>
      <x:c r="D83" s="48" t="str">
        <x:v>S</x:v>
      </x:c>
      <x:c r="E83" s="56" t="n">
        <x:v>8</x:v>
      </x:c>
      <x:c r="F83" s="60" t="n">
        <x:f>E83*1.5</x:f>
        <x:v>12</x:v>
      </x:c>
      <x:c r="G83" s="56" t="n">
        <x:v>23</x:v>
      </x:c>
      <x:c r="H83" s="60" t="n">
        <x:f>MAX(G83-F83,0)</x:f>
        <x:v>11</x:v>
      </x:c>
      <x:c r="I83" s="60" t="n">
        <x:f>MAX(F83-G83,0)</x:f>
        <x:v>0</x:v>
      </x:c>
      <x:c r="J83" s="56" t="n">
        <x:v>1485.1849431588098</x:v>
      </x:c>
      <x:c r="K83" s="60" t="n">
        <x:f>H83*J83</x:f>
        <x:v>16337.034374746909</x:v>
      </x:c>
      <x:c r="L83" s="52" t="str">
        <x:f>IF(I83&gt;=MAX(2,E83*0.5),"Дефицит",IF(H83&gt;=MAX(3,E83*0.75),"Избыток","Норма"))</x:f>
        <x:v>Избыток</x:v>
      </x:c>
    </x:row>
    <x:row r="84">
      <x:c r="A84" s="48" t="str">
        <x:v>UM-017</x:v>
      </x:c>
      <x:c r="B84" s="48" t="str">
        <x:v>Офисный комплект</x:v>
      </x:c>
      <x:c r="C84" s="48" t="str">
        <x:v>Костюмы</x:v>
      </x:c>
      <x:c r="D84" s="48" t="str">
        <x:v>M</x:v>
      </x:c>
      <x:c r="E84" s="56" t="n">
        <x:v>9</x:v>
      </x:c>
      <x:c r="F84" s="60" t="n">
        <x:f>E84*1.5</x:f>
        <x:v>13.5</x:v>
      </x:c>
      <x:c r="G84" s="56" t="n">
        <x:v>33</x:v>
      </x:c>
      <x:c r="H84" s="60" t="n">
        <x:f>MAX(G84-F84,0)</x:f>
        <x:v>19.5</x:v>
      </x:c>
      <x:c r="I84" s="60" t="n">
        <x:f>MAX(F84-G84,0)</x:f>
        <x:v>0</x:v>
      </x:c>
      <x:c r="J84" s="56" t="n">
        <x:v>1485.1849431588098</x:v>
      </x:c>
      <x:c r="K84" s="60" t="n">
        <x:f>H84*J84</x:f>
        <x:v>28961.10639159679</x:v>
      </x:c>
      <x:c r="L84" s="52" t="str">
        <x:f>IF(I84&gt;=MAX(2,E84*0.5),"Дефицит",IF(H84&gt;=MAX(3,E84*0.75),"Избыток","Норма"))</x:f>
        <x:v>Избыток</x:v>
      </x:c>
    </x:row>
    <x:row r="85">
      <x:c r="A85" s="48" t="str">
        <x:v>UM-017</x:v>
      </x:c>
      <x:c r="B85" s="48" t="str">
        <x:v>Офисный комплект</x:v>
      </x:c>
      <x:c r="C85" s="48" t="str">
        <x:v>Костюмы</x:v>
      </x:c>
      <x:c r="D85" s="48" t="str">
        <x:v>L</x:v>
      </x:c>
      <x:c r="E85" s="56" t="n">
        <x:v>6</x:v>
      </x:c>
      <x:c r="F85" s="60" t="n">
        <x:f>E85*1.5</x:f>
        <x:v>9</x:v>
      </x:c>
      <x:c r="G85" s="56" t="n">
        <x:v>32</x:v>
      </x:c>
      <x:c r="H85" s="60" t="n">
        <x:f>MAX(G85-F85,0)</x:f>
        <x:v>23</x:v>
      </x:c>
      <x:c r="I85" s="60" t="n">
        <x:f>MAX(F85-G85,0)</x:f>
        <x:v>0</x:v>
      </x:c>
      <x:c r="J85" s="56" t="n">
        <x:v>1485.1849431588098</x:v>
      </x:c>
      <x:c r="K85" s="60" t="n">
        <x:f>H85*J85</x:f>
        <x:v>34159.25369265262</x:v>
      </x:c>
      <x:c r="L85" s="52" t="str">
        <x:f>IF(I85&gt;=MAX(2,E85*0.5),"Дефицит",IF(H85&gt;=MAX(3,E85*0.75),"Избыток","Норма"))</x:f>
        <x:v>Избыток</x:v>
      </x:c>
    </x:row>
    <x:row r="86">
      <x:c r="A86" s="48" t="str">
        <x:v>UM-017</x:v>
      </x:c>
      <x:c r="B86" s="48" t="str">
        <x:v>Офисный комплект</x:v>
      </x:c>
      <x:c r="C86" s="48" t="str">
        <x:v>Костюмы</x:v>
      </x:c>
      <x:c r="D86" s="48" t="str">
        <x:v>XL</x:v>
      </x:c>
      <x:c r="E86" s="56" t="n">
        <x:v>3</x:v>
      </x:c>
      <x:c r="F86" s="60" t="n">
        <x:f>E86*1.5</x:f>
        <x:v>4.5</x:v>
      </x:c>
      <x:c r="G86" s="56" t="n">
        <x:v>28</x:v>
      </x:c>
      <x:c r="H86" s="60" t="n">
        <x:f>MAX(G86-F86,0)</x:f>
        <x:v>23.5</x:v>
      </x:c>
      <x:c r="I86" s="60" t="n">
        <x:f>MAX(F86-G86,0)</x:f>
        <x:v>0</x:v>
      </x:c>
      <x:c r="J86" s="56" t="n">
        <x:v>1485.1849431588098</x:v>
      </x:c>
      <x:c r="K86" s="60" t="n">
        <x:f>H86*J86</x:f>
        <x:v>34901.84616423203</x:v>
      </x:c>
      <x:c r="L86" s="52" t="str">
        <x:f>IF(I86&gt;=MAX(2,E86*0.5),"Дефицит",IF(H86&gt;=MAX(3,E86*0.75),"Избыток","Норма"))</x:f>
        <x:v>Избыток</x:v>
      </x:c>
    </x:row>
    <x:row r="87">
      <x:c r="A87" s="48" t="str">
        <x:v>UM-018</x:v>
      </x:c>
      <x:c r="B87" s="48" t="str">
        <x:v>Костюм с жилетом</x:v>
      </x:c>
      <x:c r="C87" s="48" t="str">
        <x:v>Костюмы</x:v>
      </x:c>
      <x:c r="D87" s="48" t="str">
        <x:v>XS</x:v>
      </x:c>
      <x:c r="E87" s="56" t="n">
        <x:v>1</x:v>
      </x:c>
      <x:c r="F87" s="60" t="n">
        <x:f>E87*1.5</x:f>
        <x:v>1.5</x:v>
      </x:c>
      <x:c r="G87" s="56" t="n">
        <x:v>7</x:v>
      </x:c>
      <x:c r="H87" s="60" t="n">
        <x:f>MAX(G87-F87,0)</x:f>
        <x:v>5.5</x:v>
      </x:c>
      <x:c r="I87" s="60" t="n">
        <x:f>MAX(F87-G87,0)</x:f>
        <x:v>0</x:v>
      </x:c>
      <x:c r="J87" s="56" t="n">
        <x:v>2087.8895531194707</x:v>
      </x:c>
      <x:c r="K87" s="60" t="n">
        <x:f>H87*J87</x:f>
        <x:v>11483.39254215709</x:v>
      </x:c>
      <x:c r="L87" s="52" t="str">
        <x:f>IF(I87&gt;=MAX(2,E87*0.5),"Дефицит",IF(H87&gt;=MAX(3,E87*0.75),"Избыток","Норма"))</x:f>
        <x:v>Избыток</x:v>
      </x:c>
    </x:row>
    <x:row r="88">
      <x:c r="A88" s="48" t="str">
        <x:v>UM-018</x:v>
      </x:c>
      <x:c r="B88" s="48" t="str">
        <x:v>Костюм с жилетом</x:v>
      </x:c>
      <x:c r="C88" s="48" t="str">
        <x:v>Костюмы</x:v>
      </x:c>
      <x:c r="D88" s="48" t="str">
        <x:v>S</x:v>
      </x:c>
      <x:c r="E88" s="56" t="n">
        <x:v>3</x:v>
      </x:c>
      <x:c r="F88" s="60" t="n">
        <x:f>E88*1.5</x:f>
        <x:v>4.5</x:v>
      </x:c>
      <x:c r="G88" s="56" t="n">
        <x:v>9</x:v>
      </x:c>
      <x:c r="H88" s="60" t="n">
        <x:f>MAX(G88-F88,0)</x:f>
        <x:v>4.5</x:v>
      </x:c>
      <x:c r="I88" s="60" t="n">
        <x:f>MAX(F88-G88,0)</x:f>
        <x:v>0</x:v>
      </x:c>
      <x:c r="J88" s="56" t="n">
        <x:v>2087.8895531194707</x:v>
      </x:c>
      <x:c r="K88" s="60" t="n">
        <x:f>H88*J88</x:f>
        <x:v>9395.502989037619</x:v>
      </x:c>
      <x:c r="L88" s="52" t="str">
        <x:f>IF(I88&gt;=MAX(2,E88*0.5),"Дефицит",IF(H88&gt;=MAX(3,E88*0.75),"Избыток","Норма"))</x:f>
        <x:v>Избыток</x:v>
      </x:c>
    </x:row>
    <x:row r="89">
      <x:c r="A89" s="48" t="str">
        <x:v>UM-018</x:v>
      </x:c>
      <x:c r="B89" s="48" t="str">
        <x:v>Костюм с жилетом</x:v>
      </x:c>
      <x:c r="C89" s="48" t="str">
        <x:v>Костюмы</x:v>
      </x:c>
      <x:c r="D89" s="48" t="str">
        <x:v>M</x:v>
      </x:c>
      <x:c r="E89" s="56" t="n">
        <x:v>5</x:v>
      </x:c>
      <x:c r="F89" s="60" t="n">
        <x:f>E89*1.5</x:f>
        <x:v>7.5</x:v>
      </x:c>
      <x:c r="G89" s="56" t="n">
        <x:v>10</x:v>
      </x:c>
      <x:c r="H89" s="60" t="n">
        <x:f>MAX(G89-F89,0)</x:f>
        <x:v>2.5</x:v>
      </x:c>
      <x:c r="I89" s="60" t="n">
        <x:f>MAX(F89-G89,0)</x:f>
        <x:v>0</x:v>
      </x:c>
      <x:c r="J89" s="56" t="n">
        <x:v>2087.8895531194707</x:v>
      </x:c>
      <x:c r="K89" s="60" t="n">
        <x:f>H89*J89</x:f>
        <x:v>5219.723882798677</x:v>
      </x:c>
      <x:c r="L89" s="52" t="str">
        <x:f>IF(I89&gt;=MAX(2,E89*0.5),"Дефицит",IF(H89&gt;=MAX(3,E89*0.75),"Избыток","Норма"))</x:f>
        <x:v>Норма</x:v>
      </x:c>
    </x:row>
    <x:row r="90">
      <x:c r="A90" s="48" t="str">
        <x:v>UM-018</x:v>
      </x:c>
      <x:c r="B90" s="48" t="str">
        <x:v>Костюм с жилетом</x:v>
      </x:c>
      <x:c r="C90" s="48" t="str">
        <x:v>Костюмы</x:v>
      </x:c>
      <x:c r="D90" s="48" t="str">
        <x:v>L</x:v>
      </x:c>
      <x:c r="E90" s="56" t="n">
        <x:v>2</x:v>
      </x:c>
      <x:c r="F90" s="60" t="n">
        <x:f>E90*1.5</x:f>
        <x:v>3</x:v>
      </x:c>
      <x:c r="G90" s="56" t="n">
        <x:v>9</x:v>
      </x:c>
      <x:c r="H90" s="60" t="n">
        <x:f>MAX(G90-F90,0)</x:f>
        <x:v>6</x:v>
      </x:c>
      <x:c r="I90" s="60" t="n">
        <x:f>MAX(F90-G90,0)</x:f>
        <x:v>0</x:v>
      </x:c>
      <x:c r="J90" s="56" t="n">
        <x:v>2087.8895531194707</x:v>
      </x:c>
      <x:c r="K90" s="60" t="n">
        <x:f>H90*J90</x:f>
        <x:v>12527.337318716825</x:v>
      </x:c>
      <x:c r="L90" s="52" t="str">
        <x:f>IF(I90&gt;=MAX(2,E90*0.5),"Дефицит",IF(H90&gt;=MAX(3,E90*0.75),"Избыток","Норма"))</x:f>
        <x:v>Избыток</x:v>
      </x:c>
    </x:row>
    <x:row r="91">
      <x:c r="A91" s="48" t="str">
        <x:v>UM-018</x:v>
      </x:c>
      <x:c r="B91" s="48" t="str">
        <x:v>Костюм с жилетом</x:v>
      </x:c>
      <x:c r="C91" s="48" t="str">
        <x:v>Костюмы</x:v>
      </x:c>
      <x:c r="D91" s="48" t="str">
        <x:v>XL</x:v>
      </x:c>
      <x:c r="E91" s="56" t="n">
        <x:v>2</x:v>
      </x:c>
      <x:c r="F91" s="60" t="n">
        <x:f>E91*1.5</x:f>
        <x:v>3</x:v>
      </x:c>
      <x:c r="G91" s="56" t="n">
        <x:v>7</x:v>
      </x:c>
      <x:c r="H91" s="60" t="n">
        <x:f>MAX(G91-F91,0)</x:f>
        <x:v>4</x:v>
      </x:c>
      <x:c r="I91" s="60" t="n">
        <x:f>MAX(F91-G91,0)</x:f>
        <x:v>0</x:v>
      </x:c>
      <x:c r="J91" s="56" t="n">
        <x:v>2087.8895531194707</x:v>
      </x:c>
      <x:c r="K91" s="60" t="n">
        <x:f>H91*J91</x:f>
        <x:v>8351.558212477883</x:v>
      </x:c>
      <x:c r="L91" s="52" t="str">
        <x:f>IF(I91&gt;=MAX(2,E91*0.5),"Дефицит",IF(H91&gt;=MAX(3,E91*0.75),"Избыток","Норма"))</x:f>
        <x:v>Избыток</x:v>
      </x:c>
    </x:row>
    <x:row r="92">
      <x:c r="A92" s="48" t="str">
        <x:v>UM-019</x:v>
      </x:c>
      <x:c r="B92" s="48" t="str">
        <x:v>Базовая рубашка</x:v>
      </x:c>
      <x:c r="C92" s="48" t="str">
        <x:v>Блузки</x:v>
      </x:c>
      <x:c r="D92" s="48" t="str">
        <x:v>XS</x:v>
      </x:c>
      <x:c r="E92" s="56" t="n">
        <x:v>3</x:v>
      </x:c>
      <x:c r="F92" s="60" t="n">
        <x:f>E92*1.5</x:f>
        <x:v>4.5</x:v>
      </x:c>
      <x:c r="G92" s="56" t="n">
        <x:v>17</x:v>
      </x:c>
      <x:c r="H92" s="60" t="n">
        <x:f>MAX(G92-F92,0)</x:f>
        <x:v>12.5</x:v>
      </x:c>
      <x:c r="I92" s="60" t="n">
        <x:f>MAX(F92-G92,0)</x:f>
        <x:v>0</x:v>
      </x:c>
      <x:c r="J92" s="56" t="n">
        <x:v>706.0208903167655</x:v>
      </x:c>
      <x:c r="K92" s="60" t="n">
        <x:f>H92*J92</x:f>
        <x:v>8825.26112895957</x:v>
      </x:c>
      <x:c r="L92" s="52" t="str">
        <x:f>IF(I92&gt;=MAX(2,E92*0.5),"Дефицит",IF(H92&gt;=MAX(3,E92*0.75),"Избыток","Норма"))</x:f>
        <x:v>Избыток</x:v>
      </x:c>
    </x:row>
    <x:row r="93">
      <x:c r="A93" s="48" t="str">
        <x:v>UM-019</x:v>
      </x:c>
      <x:c r="B93" s="48" t="str">
        <x:v>Базовая рубашка</x:v>
      </x:c>
      <x:c r="C93" s="48" t="str">
        <x:v>Блузки</x:v>
      </x:c>
      <x:c r="D93" s="48" t="str">
        <x:v>S</x:v>
      </x:c>
      <x:c r="E93" s="56" t="n">
        <x:v>7</x:v>
      </x:c>
      <x:c r="F93" s="60" t="n">
        <x:f>E93*1.5</x:f>
        <x:v>10.5</x:v>
      </x:c>
      <x:c r="G93" s="56" t="n">
        <x:v>19</x:v>
      </x:c>
      <x:c r="H93" s="60" t="n">
        <x:f>MAX(G93-F93,0)</x:f>
        <x:v>8.5</x:v>
      </x:c>
      <x:c r="I93" s="60" t="n">
        <x:f>MAX(F93-G93,0)</x:f>
        <x:v>0</x:v>
      </x:c>
      <x:c r="J93" s="56" t="n">
        <x:v>706.0208903167655</x:v>
      </x:c>
      <x:c r="K93" s="60" t="n">
        <x:f>H93*J93</x:f>
        <x:v>6001.177567692507</x:v>
      </x:c>
      <x:c r="L93" s="52" t="str">
        <x:f>IF(I93&gt;=MAX(2,E93*0.5),"Дефицит",IF(H93&gt;=MAX(3,E93*0.75),"Избыток","Норма"))</x:f>
        <x:v>Избыток</x:v>
      </x:c>
    </x:row>
    <x:row r="94">
      <x:c r="A94" s="48" t="str">
        <x:v>UM-019</x:v>
      </x:c>
      <x:c r="B94" s="48" t="str">
        <x:v>Базовая рубашка</x:v>
      </x:c>
      <x:c r="C94" s="48" t="str">
        <x:v>Блузки</x:v>
      </x:c>
      <x:c r="D94" s="48" t="str">
        <x:v>M</x:v>
      </x:c>
      <x:c r="E94" s="56" t="n">
        <x:v>11</x:v>
      </x:c>
      <x:c r="F94" s="60" t="n">
        <x:f>E94*1.5</x:f>
        <x:v>16.5</x:v>
      </x:c>
      <x:c r="G94" s="56" t="n">
        <x:v>27</x:v>
      </x:c>
      <x:c r="H94" s="60" t="n">
        <x:f>MAX(G94-F94,0)</x:f>
        <x:v>10.5</x:v>
      </x:c>
      <x:c r="I94" s="60" t="n">
        <x:f>MAX(F94-G94,0)</x:f>
        <x:v>0</x:v>
      </x:c>
      <x:c r="J94" s="56" t="n">
        <x:v>706.0208903167655</x:v>
      </x:c>
      <x:c r="K94" s="60" t="n">
        <x:f>H94*J94</x:f>
        <x:v>7413.219348326038</x:v>
      </x:c>
      <x:c r="L94" s="52" t="str">
        <x:f>IF(I94&gt;=MAX(2,E94*0.5),"Дефицит",IF(H94&gt;=MAX(3,E94*0.75),"Избыток","Норма"))</x:f>
        <x:v>Избыток</x:v>
      </x:c>
    </x:row>
    <x:row r="95">
      <x:c r="A95" s="48" t="str">
        <x:v>UM-019</x:v>
      </x:c>
      <x:c r="B95" s="48" t="str">
        <x:v>Базовая рубашка</x:v>
      </x:c>
      <x:c r="C95" s="48" t="str">
        <x:v>Блузки</x:v>
      </x:c>
      <x:c r="D95" s="48" t="str">
        <x:v>L</x:v>
      </x:c>
      <x:c r="E95" s="56" t="n">
        <x:v>6</x:v>
      </x:c>
      <x:c r="F95" s="60" t="n">
        <x:f>E95*1.5</x:f>
        <x:v>9</x:v>
      </x:c>
      <x:c r="G95" s="56" t="n">
        <x:v>23</x:v>
      </x:c>
      <x:c r="H95" s="60" t="n">
        <x:f>MAX(G95-F95,0)</x:f>
        <x:v>14</x:v>
      </x:c>
      <x:c r="I95" s="60" t="n">
        <x:f>MAX(F95-G95,0)</x:f>
        <x:v>0</x:v>
      </x:c>
      <x:c r="J95" s="56" t="n">
        <x:v>706.0208903167655</x:v>
      </x:c>
      <x:c r="K95" s="60" t="n">
        <x:f>H95*J95</x:f>
        <x:v>9884.292464434717</x:v>
      </x:c>
      <x:c r="L95" s="52" t="str">
        <x:f>IF(I95&gt;=MAX(2,E95*0.5),"Дефицит",IF(H95&gt;=MAX(3,E95*0.75),"Избыток","Норма"))</x:f>
        <x:v>Избыток</x:v>
      </x:c>
    </x:row>
    <x:row r="96">
      <x:c r="A96" s="48" t="str">
        <x:v>UM-019</x:v>
      </x:c>
      <x:c r="B96" s="48" t="str">
        <x:v>Базовая рубашка</x:v>
      </x:c>
      <x:c r="C96" s="48" t="str">
        <x:v>Блузки</x:v>
      </x:c>
      <x:c r="D96" s="48" t="str">
        <x:v>XL</x:v>
      </x:c>
      <x:c r="E96" s="56" t="n">
        <x:v>3</x:v>
      </x:c>
      <x:c r="F96" s="60" t="n">
        <x:f>E96*1.5</x:f>
        <x:v>4.5</x:v>
      </x:c>
      <x:c r="G96" s="56" t="n">
        <x:v>23</x:v>
      </x:c>
      <x:c r="H96" s="60" t="n">
        <x:f>MAX(G96-F96,0)</x:f>
        <x:v>18.5</x:v>
      </x:c>
      <x:c r="I96" s="60" t="n">
        <x:f>MAX(F96-G96,0)</x:f>
        <x:v>0</x:v>
      </x:c>
      <x:c r="J96" s="56" t="n">
        <x:v>706.0208903167655</x:v>
      </x:c>
      <x:c r="K96" s="60" t="n">
        <x:f>H96*J96</x:f>
        <x:v>13061.386470860163</x:v>
      </x:c>
      <x:c r="L96" s="52" t="str">
        <x:f>IF(I96&gt;=MAX(2,E96*0.5),"Дефицит",IF(H96&gt;=MAX(3,E96*0.75),"Избыток","Норма"))</x:f>
        <x:v>Избыток</x:v>
      </x:c>
    </x:row>
    <x:row r="97">
      <x:c r="A97" s="48" t="str">
        <x:v>UM-020</x:v>
      </x:c>
      <x:c r="B97" s="48" t="str">
        <x:v>Блузка с бантом</x:v>
      </x:c>
      <x:c r="C97" s="48" t="str">
        <x:v>Блузки</x:v>
      </x:c>
      <x:c r="D97" s="48" t="str">
        <x:v>XS</x:v>
      </x:c>
      <x:c r="E97" s="56" t="n">
        <x:v>4</x:v>
      </x:c>
      <x:c r="F97" s="60" t="n">
        <x:f>E97*1.5</x:f>
        <x:v>6</x:v>
      </x:c>
      <x:c r="G97" s="56" t="n">
        <x:v>6</x:v>
      </x:c>
      <x:c r="H97" s="60" t="n">
        <x:f>MAX(G97-F97,0)</x:f>
        <x:v>0</x:v>
      </x:c>
      <x:c r="I97" s="60" t="n">
        <x:f>MAX(F97-G97,0)</x:f>
        <x:v>0</x:v>
      </x:c>
      <x:c r="J97" s="56" t="n">
        <x:v>661.5879279700564</x:v>
      </x:c>
      <x:c r="K97" s="60" t="n">
        <x:f>H97*J97</x:f>
        <x:v>0</x:v>
      </x:c>
      <x:c r="L97" s="52" t="str">
        <x:f>IF(I97&gt;=MAX(2,E97*0.5),"Дефицит",IF(H97&gt;=MAX(3,E97*0.75),"Избыток","Норма"))</x:f>
        <x:v>Норма</x:v>
      </x:c>
    </x:row>
    <x:row r="98">
      <x:c r="A98" s="48" t="str">
        <x:v>UM-020</x:v>
      </x:c>
      <x:c r="B98" s="48" t="str">
        <x:v>Блузка с бантом</x:v>
      </x:c>
      <x:c r="C98" s="48" t="str">
        <x:v>Блузки</x:v>
      </x:c>
      <x:c r="D98" s="48" t="str">
        <x:v>S</x:v>
      </x:c>
      <x:c r="E98" s="56" t="n">
        <x:v>11</x:v>
      </x:c>
      <x:c r="F98" s="60" t="n">
        <x:f>E98*1.5</x:f>
        <x:v>16.5</x:v>
      </x:c>
      <x:c r="G98" s="56" t="n">
        <x:v>7</x:v>
      </x:c>
      <x:c r="H98" s="60" t="n">
        <x:f>MAX(G98-F98,0)</x:f>
        <x:v>0</x:v>
      </x:c>
      <x:c r="I98" s="60" t="n">
        <x:f>MAX(F98-G98,0)</x:f>
        <x:v>9.5</x:v>
      </x:c>
      <x:c r="J98" s="56" t="n">
        <x:v>661.5879279700564</x:v>
      </x:c>
      <x:c r="K98" s="60" t="n">
        <x:f>H98*J98</x:f>
        <x:v>0</x:v>
      </x:c>
      <x:c r="L98" s="52" t="str">
        <x:f>IF(I98&gt;=MAX(2,E98*0.5),"Дефицит",IF(H98&gt;=MAX(3,E98*0.75),"Избыток","Норма"))</x:f>
        <x:v>Дефицит</x:v>
      </x:c>
    </x:row>
    <x:row r="99">
      <x:c r="A99" s="48" t="str">
        <x:v>UM-020</x:v>
      </x:c>
      <x:c r="B99" s="48" t="str">
        <x:v>Блузка с бантом</x:v>
      </x:c>
      <x:c r="C99" s="48" t="str">
        <x:v>Блузки</x:v>
      </x:c>
      <x:c r="D99" s="48" t="str">
        <x:v>M</x:v>
      </x:c>
      <x:c r="E99" s="56" t="n">
        <x:v>14</x:v>
      </x:c>
      <x:c r="F99" s="60" t="n">
        <x:f>E99*1.5</x:f>
        <x:v>21</x:v>
      </x:c>
      <x:c r="G99" s="56" t="n">
        <x:v>3</x:v>
      </x:c>
      <x:c r="H99" s="60" t="n">
        <x:f>MAX(G99-F99,0)</x:f>
        <x:v>0</x:v>
      </x:c>
      <x:c r="I99" s="60" t="n">
        <x:f>MAX(F99-G99,0)</x:f>
        <x:v>18</x:v>
      </x:c>
      <x:c r="J99" s="56" t="n">
        <x:v>661.5879279700564</x:v>
      </x:c>
      <x:c r="K99" s="60" t="n">
        <x:f>H99*J99</x:f>
        <x:v>0</x:v>
      </x:c>
      <x:c r="L99" s="52" t="str">
        <x:f>IF(I99&gt;=MAX(2,E99*0.5),"Дефицит",IF(H99&gt;=MAX(3,E99*0.75),"Избыток","Норма"))</x:f>
        <x:v>Дефицит</x:v>
      </x:c>
    </x:row>
    <x:row r="100">
      <x:c r="A100" s="48" t="str">
        <x:v>UM-020</x:v>
      </x:c>
      <x:c r="B100" s="48" t="str">
        <x:v>Блузка с бантом</x:v>
      </x:c>
      <x:c r="C100" s="48" t="str">
        <x:v>Блузки</x:v>
      </x:c>
      <x:c r="D100" s="48" t="str">
        <x:v>L</x:v>
      </x:c>
      <x:c r="E100" s="56" t="n">
        <x:v>11</x:v>
      </x:c>
      <x:c r="F100" s="60" t="n">
        <x:f>E100*1.5</x:f>
        <x:v>16.5</x:v>
      </x:c>
      <x:c r="G100" s="56" t="n">
        <x:v>4</x:v>
      </x:c>
      <x:c r="H100" s="60" t="n">
        <x:f>MAX(G100-F100,0)</x:f>
        <x:v>0</x:v>
      </x:c>
      <x:c r="I100" s="60" t="n">
        <x:f>MAX(F100-G100,0)</x:f>
        <x:v>12.5</x:v>
      </x:c>
      <x:c r="J100" s="56" t="n">
        <x:v>661.5879279700564</x:v>
      </x:c>
      <x:c r="K100" s="60" t="n">
        <x:f>H100*J100</x:f>
        <x:v>0</x:v>
      </x:c>
      <x:c r="L100" s="52" t="str">
        <x:f>IF(I100&gt;=MAX(2,E100*0.5),"Дефицит",IF(H100&gt;=MAX(3,E100*0.75),"Избыток","Норма"))</x:f>
        <x:v>Дефицит</x:v>
      </x:c>
    </x:row>
    <x:row r="101">
      <x:c r="A101" s="48" t="str">
        <x:v>UM-020</x:v>
      </x:c>
      <x:c r="B101" s="48" t="str">
        <x:v>Блузка с бантом</x:v>
      </x:c>
      <x:c r="C101" s="48" t="str">
        <x:v>Блузки</x:v>
      </x:c>
      <x:c r="D101" s="48" t="str">
        <x:v>XL</x:v>
      </x:c>
      <x:c r="E101" s="56" t="n">
        <x:v>6</x:v>
      </x:c>
      <x:c r="F101" s="60" t="n">
        <x:f>E101*1.5</x:f>
        <x:v>9</x:v>
      </x:c>
      <x:c r="G101" s="56" t="n">
        <x:v>4</x:v>
      </x:c>
      <x:c r="H101" s="60" t="n">
        <x:f>MAX(G101-F101,0)</x:f>
        <x:v>0</x:v>
      </x:c>
      <x:c r="I101" s="60" t="n">
        <x:f>MAX(F101-G101,0)</x:f>
        <x:v>5</x:v>
      </x:c>
      <x:c r="J101" s="56" t="n">
        <x:v>661.5879279700564</x:v>
      </x:c>
      <x:c r="K101" s="60" t="n">
        <x:f>H101*J101</x:f>
        <x:v>0</x:v>
      </x:c>
      <x:c r="L101" s="52" t="str">
        <x:f>IF(I101&gt;=MAX(2,E101*0.5),"Дефицит",IF(H101&gt;=MAX(3,E101*0.75),"Избыток","Норма"))</x:f>
        <x:v>Дефицит</x:v>
      </x:c>
    </x:row>
    <x:row r="102">
      <x:c r="A102" s="48" t="str">
        <x:v>UM-021</x:v>
      </x:c>
      <x:c r="B102" s="48" t="str">
        <x:v>Шёлковая блузка</x:v>
      </x:c>
      <x:c r="C102" s="48" t="str">
        <x:v>Блузки</x:v>
      </x:c>
      <x:c r="D102" s="48" t="str">
        <x:v>XS</x:v>
      </x:c>
      <x:c r="E102" s="56" t="n">
        <x:v>2</x:v>
      </x:c>
      <x:c r="F102" s="60" t="n">
        <x:f>E102*1.5</x:f>
        <x:v>3</x:v>
      </x:c>
      <x:c r="G102" s="56" t="n">
        <x:v>4</x:v>
      </x:c>
      <x:c r="H102" s="60" t="n">
        <x:f>MAX(G102-F102,0)</x:f>
        <x:v>1</x:v>
      </x:c>
      <x:c r="I102" s="60" t="n">
        <x:f>MAX(F102-G102,0)</x:f>
        <x:v>0</x:v>
      </x:c>
      <x:c r="J102" s="56" t="n">
        <x:v>1071.1096888715942</x:v>
      </x:c>
      <x:c r="K102" s="60" t="n">
        <x:f>H102*J102</x:f>
        <x:v>1071.1096888715942</x:v>
      </x:c>
      <x:c r="L102" s="52" t="str">
        <x:f>IF(I102&gt;=MAX(2,E102*0.5),"Дефицит",IF(H102&gt;=MAX(3,E102*0.75),"Избыток","Норма"))</x:f>
        <x:v>Норма</x:v>
      </x:c>
    </x:row>
    <x:row r="103">
      <x:c r="A103" s="48" t="str">
        <x:v>UM-021</x:v>
      </x:c>
      <x:c r="B103" s="48" t="str">
        <x:v>Шёлковая блузка</x:v>
      </x:c>
      <x:c r="C103" s="48" t="str">
        <x:v>Блузки</x:v>
      </x:c>
      <x:c r="D103" s="48" t="str">
        <x:v>S</x:v>
      </x:c>
      <x:c r="E103" s="56" t="n">
        <x:v>7</x:v>
      </x:c>
      <x:c r="F103" s="60" t="n">
        <x:f>E103*1.5</x:f>
        <x:v>10.5</x:v>
      </x:c>
      <x:c r="G103" s="56" t="n">
        <x:v>22</x:v>
      </x:c>
      <x:c r="H103" s="60" t="n">
        <x:f>MAX(G103-F103,0)</x:f>
        <x:v>11.5</x:v>
      </x:c>
      <x:c r="I103" s="60" t="n">
        <x:f>MAX(F103-G103,0)</x:f>
        <x:v>0</x:v>
      </x:c>
      <x:c r="J103" s="56" t="n">
        <x:v>1071.1096888715942</x:v>
      </x:c>
      <x:c r="K103" s="60" t="n">
        <x:f>H103*J103</x:f>
        <x:v>12317.761422023334</x:v>
      </x:c>
      <x:c r="L103" s="52" t="str">
        <x:f>IF(I103&gt;=MAX(2,E103*0.5),"Дефицит",IF(H103&gt;=MAX(3,E103*0.75),"Избыток","Норма"))</x:f>
        <x:v>Избыток</x:v>
      </x:c>
    </x:row>
    <x:row r="104">
      <x:c r="A104" s="48" t="str">
        <x:v>UM-021</x:v>
      </x:c>
      <x:c r="B104" s="48" t="str">
        <x:v>Шёлковая блузка</x:v>
      </x:c>
      <x:c r="C104" s="48" t="str">
        <x:v>Блузки</x:v>
      </x:c>
      <x:c r="D104" s="48" t="str">
        <x:v>M</x:v>
      </x:c>
      <x:c r="E104" s="56" t="n">
        <x:v>8</x:v>
      </x:c>
      <x:c r="F104" s="60" t="n">
        <x:f>E104*1.5</x:f>
        <x:v>12</x:v>
      </x:c>
      <x:c r="G104" s="56" t="n">
        <x:v>9</x:v>
      </x:c>
      <x:c r="H104" s="60" t="n">
        <x:f>MAX(G104-F104,0)</x:f>
        <x:v>0</x:v>
      </x:c>
      <x:c r="I104" s="60" t="n">
        <x:f>MAX(F104-G104,0)</x:f>
        <x:v>3</x:v>
      </x:c>
      <x:c r="J104" s="56" t="n">
        <x:v>1071.1096888715942</x:v>
      </x:c>
      <x:c r="K104" s="60" t="n">
        <x:f>H104*J104</x:f>
        <x:v>0</x:v>
      </x:c>
      <x:c r="L104" s="52" t="str">
        <x:f>IF(I104&gt;=MAX(2,E104*0.5),"Дефицит",IF(H104&gt;=MAX(3,E104*0.75),"Избыток","Норма"))</x:f>
        <x:v>Норма</x:v>
      </x:c>
    </x:row>
    <x:row r="105">
      <x:c r="A105" s="48" t="str">
        <x:v>UM-021</x:v>
      </x:c>
      <x:c r="B105" s="48" t="str">
        <x:v>Шёлковая блузка</x:v>
      </x:c>
      <x:c r="C105" s="48" t="str">
        <x:v>Блузки</x:v>
      </x:c>
      <x:c r="D105" s="48" t="str">
        <x:v>L</x:v>
      </x:c>
      <x:c r="E105" s="56" t="n">
        <x:v>5</x:v>
      </x:c>
      <x:c r="F105" s="60" t="n">
        <x:f>E105*1.5</x:f>
        <x:v>7.5</x:v>
      </x:c>
      <x:c r="G105" s="56" t="n">
        <x:v>10</x:v>
      </x:c>
      <x:c r="H105" s="60" t="n">
        <x:f>MAX(G105-F105,0)</x:f>
        <x:v>2.5</x:v>
      </x:c>
      <x:c r="I105" s="60" t="n">
        <x:f>MAX(F105-G105,0)</x:f>
        <x:v>0</x:v>
      </x:c>
      <x:c r="J105" s="56" t="n">
        <x:v>1071.1096888715942</x:v>
      </x:c>
      <x:c r="K105" s="60" t="n">
        <x:f>H105*J105</x:f>
        <x:v>2677.774222178986</x:v>
      </x:c>
      <x:c r="L105" s="52" t="str">
        <x:f>IF(I105&gt;=MAX(2,E105*0.5),"Дефицит",IF(H105&gt;=MAX(3,E105*0.75),"Избыток","Норма"))</x:f>
        <x:v>Норма</x:v>
      </x:c>
    </x:row>
    <x:row r="106">
      <x:c r="A106" s="48" t="str">
        <x:v>UM-021</x:v>
      </x:c>
      <x:c r="B106" s="48" t="str">
        <x:v>Шёлковая блузка</x:v>
      </x:c>
      <x:c r="C106" s="48" t="str">
        <x:v>Блузки</x:v>
      </x:c>
      <x:c r="D106" s="48" t="str">
        <x:v>XL</x:v>
      </x:c>
      <x:c r="E106" s="56" t="n">
        <x:v>2</x:v>
      </x:c>
      <x:c r="F106" s="60" t="n">
        <x:f>E106*1.5</x:f>
        <x:v>3</x:v>
      </x:c>
      <x:c r="G106" s="56" t="n">
        <x:v>3</x:v>
      </x:c>
      <x:c r="H106" s="60" t="n">
        <x:f>MAX(G106-F106,0)</x:f>
        <x:v>0</x:v>
      </x:c>
      <x:c r="I106" s="60" t="n">
        <x:f>MAX(F106-G106,0)</x:f>
        <x:v>0</x:v>
      </x:c>
      <x:c r="J106" s="56" t="n">
        <x:v>1071.1096888715942</x:v>
      </x:c>
      <x:c r="K106" s="60" t="n">
        <x:f>H106*J106</x:f>
        <x:v>0</x:v>
      </x:c>
      <x:c r="L106" s="52" t="str">
        <x:f>IF(I106&gt;=MAX(2,E106*0.5),"Дефицит",IF(H106&gt;=MAX(3,E106*0.75),"Избыток","Норма"))</x:f>
        <x:v>Норма</x:v>
      </x:c>
    </x:row>
    <x:row r="107">
      <x:c r="A107" s="48" t="str">
        <x:v>UM-022</x:v>
      </x:c>
      <x:c r="B107" s="48" t="str">
        <x:v>Рубашка oversize</x:v>
      </x:c>
      <x:c r="C107" s="48" t="str">
        <x:v>Блузки</x:v>
      </x:c>
      <x:c r="D107" s="48" t="str">
        <x:v>XS</x:v>
      </x:c>
      <x:c r="E107" s="56" t="n">
        <x:v>2</x:v>
      </x:c>
      <x:c r="F107" s="60" t="n">
        <x:f>E107*1.5</x:f>
        <x:v>3</x:v>
      </x:c>
      <x:c r="G107" s="56" t="n">
        <x:v>1</x:v>
      </x:c>
      <x:c r="H107" s="60" t="n">
        <x:f>MAX(G107-F107,0)</x:f>
        <x:v>0</x:v>
      </x:c>
      <x:c r="I107" s="60" t="n">
        <x:f>MAX(F107-G107,0)</x:f>
        <x:v>2</x:v>
      </x:c>
      <x:c r="J107" s="56" t="n">
        <x:v>865.0531156110903</x:v>
      </x:c>
      <x:c r="K107" s="60" t="n">
        <x:f>H107*J107</x:f>
        <x:v>0</x:v>
      </x:c>
      <x:c r="L107" s="52" t="str">
        <x:f>IF(I107&gt;=MAX(2,E107*0.5),"Дефицит",IF(H107&gt;=MAX(3,E107*0.75),"Избыток","Норма"))</x:f>
        <x:v>Дефицит</x:v>
      </x:c>
    </x:row>
    <x:row r="108">
      <x:c r="A108" s="48" t="str">
        <x:v>UM-022</x:v>
      </x:c>
      <x:c r="B108" s="48" t="str">
        <x:v>Рубашка oversize</x:v>
      </x:c>
      <x:c r="C108" s="48" t="str">
        <x:v>Блузки</x:v>
      </x:c>
      <x:c r="D108" s="48" t="str">
        <x:v>S</x:v>
      </x:c>
      <x:c r="E108" s="56" t="n">
        <x:v>5</x:v>
      </x:c>
      <x:c r="F108" s="60" t="n">
        <x:f>E108*1.5</x:f>
        <x:v>7.5</x:v>
      </x:c>
      <x:c r="G108" s="56" t="n">
        <x:v>8</x:v>
      </x:c>
      <x:c r="H108" s="60" t="n">
        <x:f>MAX(G108-F108,0)</x:f>
        <x:v>0.5</x:v>
      </x:c>
      <x:c r="I108" s="60" t="n">
        <x:f>MAX(F108-G108,0)</x:f>
        <x:v>0</x:v>
      </x:c>
      <x:c r="J108" s="56" t="n">
        <x:v>865.0531156110903</x:v>
      </x:c>
      <x:c r="K108" s="60" t="n">
        <x:f>H108*J108</x:f>
        <x:v>432.52655780554517</x:v>
      </x:c>
      <x:c r="L108" s="52" t="str">
        <x:f>IF(I108&gt;=MAX(2,E108*0.5),"Дефицит",IF(H108&gt;=MAX(3,E108*0.75),"Избыток","Норма"))</x:f>
        <x:v>Норма</x:v>
      </x:c>
    </x:row>
    <x:row r="109">
      <x:c r="A109" s="48" t="str">
        <x:v>UM-022</x:v>
      </x:c>
      <x:c r="B109" s="48" t="str">
        <x:v>Рубашка oversize</x:v>
      </x:c>
      <x:c r="C109" s="48" t="str">
        <x:v>Блузки</x:v>
      </x:c>
      <x:c r="D109" s="48" t="str">
        <x:v>M</x:v>
      </x:c>
      <x:c r="E109" s="56" t="n">
        <x:v>9</x:v>
      </x:c>
      <x:c r="F109" s="60" t="n">
        <x:f>E109*1.5</x:f>
        <x:v>13.5</x:v>
      </x:c>
      <x:c r="G109" s="56" t="n">
        <x:v>15</x:v>
      </x:c>
      <x:c r="H109" s="60" t="n">
        <x:f>MAX(G109-F109,0)</x:f>
        <x:v>1.5</x:v>
      </x:c>
      <x:c r="I109" s="60" t="n">
        <x:f>MAX(F109-G109,0)</x:f>
        <x:v>0</x:v>
      </x:c>
      <x:c r="J109" s="56" t="n">
        <x:v>865.0531156110903</x:v>
      </x:c>
      <x:c r="K109" s="60" t="n">
        <x:f>H109*J109</x:f>
        <x:v>1297.5796734166356</x:v>
      </x:c>
      <x:c r="L109" s="52" t="str">
        <x:f>IF(I109&gt;=MAX(2,E109*0.5),"Дефицит",IF(H109&gt;=MAX(3,E109*0.75),"Избыток","Норма"))</x:f>
        <x:v>Норма</x:v>
      </x:c>
    </x:row>
    <x:row r="110">
      <x:c r="A110" s="48" t="str">
        <x:v>UM-022</x:v>
      </x:c>
      <x:c r="B110" s="48" t="str">
        <x:v>Рубашка oversize</x:v>
      </x:c>
      <x:c r="C110" s="48" t="str">
        <x:v>Блузки</x:v>
      </x:c>
      <x:c r="D110" s="48" t="str">
        <x:v>L</x:v>
      </x:c>
      <x:c r="E110" s="56" t="n">
        <x:v>5</x:v>
      </x:c>
      <x:c r="F110" s="60" t="n">
        <x:f>E110*1.5</x:f>
        <x:v>7.5</x:v>
      </x:c>
      <x:c r="G110" s="56" t="n">
        <x:v>9</x:v>
      </x:c>
      <x:c r="H110" s="60" t="n">
        <x:f>MAX(G110-F110,0)</x:f>
        <x:v>1.5</x:v>
      </x:c>
      <x:c r="I110" s="60" t="n">
        <x:f>MAX(F110-G110,0)</x:f>
        <x:v>0</x:v>
      </x:c>
      <x:c r="J110" s="56" t="n">
        <x:v>865.0531156110903</x:v>
      </x:c>
      <x:c r="K110" s="60" t="n">
        <x:f>H110*J110</x:f>
        <x:v>1297.5796734166356</x:v>
      </x:c>
      <x:c r="L110" s="52" t="str">
        <x:f>IF(I110&gt;=MAX(2,E110*0.5),"Дефицит",IF(H110&gt;=MAX(3,E110*0.75),"Избыток","Норма"))</x:f>
        <x:v>Норма</x:v>
      </x:c>
    </x:row>
    <x:row r="111">
      <x:c r="A111" s="48" t="str">
        <x:v>UM-022</x:v>
      </x:c>
      <x:c r="B111" s="48" t="str">
        <x:v>Рубашка oversize</x:v>
      </x:c>
      <x:c r="C111" s="48" t="str">
        <x:v>Блузки</x:v>
      </x:c>
      <x:c r="D111" s="48" t="str">
        <x:v>XL</x:v>
      </x:c>
      <x:c r="E111" s="56" t="n">
        <x:v>2</x:v>
      </x:c>
      <x:c r="F111" s="60" t="n">
        <x:f>E111*1.5</x:f>
        <x:v>3</x:v>
      </x:c>
      <x:c r="G111" s="56" t="n">
        <x:v>6</x:v>
      </x:c>
      <x:c r="H111" s="60" t="n">
        <x:f>MAX(G111-F111,0)</x:f>
        <x:v>3</x:v>
      </x:c>
      <x:c r="I111" s="60" t="n">
        <x:f>MAX(F111-G111,0)</x:f>
        <x:v>0</x:v>
      </x:c>
      <x:c r="J111" s="56" t="n">
        <x:v>865.0531156110903</x:v>
      </x:c>
      <x:c r="K111" s="60" t="n">
        <x:f>H111*J111</x:f>
        <x:v>2595.1593468332712</x:v>
      </x:c>
      <x:c r="L111" s="52" t="str">
        <x:f>IF(I111&gt;=MAX(2,E111*0.5),"Дефицит",IF(H111&gt;=MAX(3,E111*0.75),"Избыток","Норма"))</x:f>
        <x:v>Избыток</x:v>
      </x:c>
    </x:row>
    <x:row r="112">
      <x:c r="A112" s="48" t="str">
        <x:v>UM-023</x:v>
      </x:c>
      <x:c r="B112" s="48" t="str">
        <x:v>Блузка с воланами</x:v>
      </x:c>
      <x:c r="C112" s="48" t="str">
        <x:v>Блузки</x:v>
      </x:c>
      <x:c r="D112" s="48" t="str">
        <x:v>XS</x:v>
      </x:c>
      <x:c r="E112" s="56" t="n">
        <x:v>2</x:v>
      </x:c>
      <x:c r="F112" s="60" t="n">
        <x:f>E112*1.5</x:f>
        <x:v>3</x:v>
      </x:c>
      <x:c r="G112" s="56" t="n">
        <x:v>6</x:v>
      </x:c>
      <x:c r="H112" s="60" t="n">
        <x:f>MAX(G112-F112,0)</x:f>
        <x:v>3</x:v>
      </x:c>
      <x:c r="I112" s="60" t="n">
        <x:f>MAX(F112-G112,0)</x:f>
        <x:v>0</x:v>
      </x:c>
      <x:c r="J112" s="56" t="n">
        <x:v>607.496108121362</x:v>
      </x:c>
      <x:c r="K112" s="60" t="n">
        <x:f>H112*J112</x:f>
        <x:v>1822.488324364086</x:v>
      </x:c>
      <x:c r="L112" s="52" t="str">
        <x:f>IF(I112&gt;=MAX(2,E112*0.5),"Дефицит",IF(H112&gt;=MAX(3,E112*0.75),"Избыток","Норма"))</x:f>
        <x:v>Избыток</x:v>
      </x:c>
    </x:row>
    <x:row r="113">
      <x:c r="A113" s="48" t="str">
        <x:v>UM-023</x:v>
      </x:c>
      <x:c r="B113" s="48" t="str">
        <x:v>Блузка с воланами</x:v>
      </x:c>
      <x:c r="C113" s="48" t="str">
        <x:v>Блузки</x:v>
      </x:c>
      <x:c r="D113" s="48" t="str">
        <x:v>S</x:v>
      </x:c>
      <x:c r="E113" s="56" t="n">
        <x:v>8</x:v>
      </x:c>
      <x:c r="F113" s="60" t="n">
        <x:f>E113*1.5</x:f>
        <x:v>12</x:v>
      </x:c>
      <x:c r="G113" s="56" t="n">
        <x:v>15</x:v>
      </x:c>
      <x:c r="H113" s="60" t="n">
        <x:f>MAX(G113-F113,0)</x:f>
        <x:v>3</x:v>
      </x:c>
      <x:c r="I113" s="60" t="n">
        <x:f>MAX(F113-G113,0)</x:f>
        <x:v>0</x:v>
      </x:c>
      <x:c r="J113" s="56" t="n">
        <x:v>607.496108121362</x:v>
      </x:c>
      <x:c r="K113" s="60" t="n">
        <x:f>H113*J113</x:f>
        <x:v>1822.488324364086</x:v>
      </x:c>
      <x:c r="L113" s="52" t="str">
        <x:f>IF(I113&gt;=MAX(2,E113*0.5),"Дефицит",IF(H113&gt;=MAX(3,E113*0.75),"Избыток","Норма"))</x:f>
        <x:v>Норма</x:v>
      </x:c>
    </x:row>
    <x:row r="114">
      <x:c r="A114" s="48" t="str">
        <x:v>UM-023</x:v>
      </x:c>
      <x:c r="B114" s="48" t="str">
        <x:v>Блузка с воланами</x:v>
      </x:c>
      <x:c r="C114" s="48" t="str">
        <x:v>Блузки</x:v>
      </x:c>
      <x:c r="D114" s="48" t="str">
        <x:v>M</x:v>
      </x:c>
      <x:c r="E114" s="56" t="n">
        <x:v>9</x:v>
      </x:c>
      <x:c r="F114" s="60" t="n">
        <x:f>E114*1.5</x:f>
        <x:v>13.5</x:v>
      </x:c>
      <x:c r="G114" s="56" t="n">
        <x:v>10</x:v>
      </x:c>
      <x:c r="H114" s="60" t="n">
        <x:f>MAX(G114-F114,0)</x:f>
        <x:v>0</x:v>
      </x:c>
      <x:c r="I114" s="60" t="n">
        <x:f>MAX(F114-G114,0)</x:f>
        <x:v>3.5</x:v>
      </x:c>
      <x:c r="J114" s="56" t="n">
        <x:v>607.496108121362</x:v>
      </x:c>
      <x:c r="K114" s="60" t="n">
        <x:f>H114*J114</x:f>
        <x:v>0</x:v>
      </x:c>
      <x:c r="L114" s="52" t="str">
        <x:f>IF(I114&gt;=MAX(2,E114*0.5),"Дефицит",IF(H114&gt;=MAX(3,E114*0.75),"Избыток","Норма"))</x:f>
        <x:v>Норма</x:v>
      </x:c>
    </x:row>
    <x:row r="115">
      <x:c r="A115" s="48" t="str">
        <x:v>UM-023</x:v>
      </x:c>
      <x:c r="B115" s="48" t="str">
        <x:v>Блузка с воланами</x:v>
      </x:c>
      <x:c r="C115" s="48" t="str">
        <x:v>Блузки</x:v>
      </x:c>
      <x:c r="D115" s="48" t="str">
        <x:v>L</x:v>
      </x:c>
      <x:c r="E115" s="56" t="n">
        <x:v>6</x:v>
      </x:c>
      <x:c r="F115" s="60" t="n">
        <x:f>E115*1.5</x:f>
        <x:v>9</x:v>
      </x:c>
      <x:c r="G115" s="56" t="n">
        <x:v>10</x:v>
      </x:c>
      <x:c r="H115" s="60" t="n">
        <x:f>MAX(G115-F115,0)</x:f>
        <x:v>1</x:v>
      </x:c>
      <x:c r="I115" s="60" t="n">
        <x:f>MAX(F115-G115,0)</x:f>
        <x:v>0</x:v>
      </x:c>
      <x:c r="J115" s="56" t="n">
        <x:v>607.496108121362</x:v>
      </x:c>
      <x:c r="K115" s="60" t="n">
        <x:f>H115*J115</x:f>
        <x:v>607.496108121362</x:v>
      </x:c>
      <x:c r="L115" s="52" t="str">
        <x:f>IF(I115&gt;=MAX(2,E115*0.5),"Дефицит",IF(H115&gt;=MAX(3,E115*0.75),"Избыток","Норма"))</x:f>
        <x:v>Норма</x:v>
      </x:c>
    </x:row>
    <x:row r="116">
      <x:c r="A116" s="48" t="str">
        <x:v>UM-023</x:v>
      </x:c>
      <x:c r="B116" s="48" t="str">
        <x:v>Блузка с воланами</x:v>
      </x:c>
      <x:c r="C116" s="48" t="str">
        <x:v>Блузки</x:v>
      </x:c>
      <x:c r="D116" s="48" t="str">
        <x:v>XL</x:v>
      </x:c>
      <x:c r="E116" s="56" t="n">
        <x:v>3</x:v>
      </x:c>
      <x:c r="F116" s="60" t="n">
        <x:f>E116*1.5</x:f>
        <x:v>4.5</x:v>
      </x:c>
      <x:c r="G116" s="56" t="n">
        <x:v>6</x:v>
      </x:c>
      <x:c r="H116" s="60" t="n">
        <x:f>MAX(G116-F116,0)</x:f>
        <x:v>1.5</x:v>
      </x:c>
      <x:c r="I116" s="60" t="n">
        <x:f>MAX(F116-G116,0)</x:f>
        <x:v>0</x:v>
      </x:c>
      <x:c r="J116" s="56" t="n">
        <x:v>607.496108121362</x:v>
      </x:c>
      <x:c r="K116" s="60" t="n">
        <x:f>H116*J116</x:f>
        <x:v>911.244162182043</x:v>
      </x:c>
      <x:c r="L116" s="52" t="str">
        <x:f>IF(I116&gt;=MAX(2,E116*0.5),"Дефицит",IF(H116&gt;=MAX(3,E116*0.75),"Избыток","Норма"))</x:f>
        <x:v>Норма</x:v>
      </x:c>
    </x:row>
    <x:row r="117">
      <x:c r="A117" s="48" t="str">
        <x:v>UM-024</x:v>
      </x:c>
      <x:c r="B117" s="48" t="str">
        <x:v>Топ с длинным рукавом</x:v>
      </x:c>
      <x:c r="C117" s="48" t="str">
        <x:v>Блузки</x:v>
      </x:c>
      <x:c r="D117" s="48" t="str">
        <x:v>XS</x:v>
      </x:c>
      <x:c r="E117" s="56" t="n">
        <x:v>1</x:v>
      </x:c>
      <x:c r="F117" s="60" t="n">
        <x:f>E117*1.5</x:f>
        <x:v>1.5</x:v>
      </x:c>
      <x:c r="G117" s="56" t="n">
        <x:v>15</x:v>
      </x:c>
      <x:c r="H117" s="60" t="n">
        <x:f>MAX(G117-F117,0)</x:f>
        <x:v>13.5</x:v>
      </x:c>
      <x:c r="I117" s="60" t="n">
        <x:f>MAX(F117-G117,0)</x:f>
        <x:v>0</x:v>
      </x:c>
      <x:c r="J117" s="56" t="n">
        <x:v>1134.3479361680947</x:v>
      </x:c>
      <x:c r="K117" s="60" t="n">
        <x:f>H117*J117</x:f>
        <x:v>15313.69713826928</x:v>
      </x:c>
      <x:c r="L117" s="52" t="str">
        <x:f>IF(I117&gt;=MAX(2,E117*0.5),"Дефицит",IF(H117&gt;=MAX(3,E117*0.75),"Избыток","Норма"))</x:f>
        <x:v>Избыток</x:v>
      </x:c>
    </x:row>
    <x:row r="118">
      <x:c r="A118" s="48" t="str">
        <x:v>UM-024</x:v>
      </x:c>
      <x:c r="B118" s="48" t="str">
        <x:v>Топ с длинным рукавом</x:v>
      </x:c>
      <x:c r="C118" s="48" t="str">
        <x:v>Блузки</x:v>
      </x:c>
      <x:c r="D118" s="48" t="str">
        <x:v>S</x:v>
      </x:c>
      <x:c r="E118" s="56" t="n">
        <x:v>4</x:v>
      </x:c>
      <x:c r="F118" s="60" t="n">
        <x:f>E118*1.5</x:f>
        <x:v>6</x:v>
      </x:c>
      <x:c r="G118" s="56" t="n">
        <x:v>17</x:v>
      </x:c>
      <x:c r="H118" s="60" t="n">
        <x:f>MAX(G118-F118,0)</x:f>
        <x:v>11</x:v>
      </x:c>
      <x:c r="I118" s="60" t="n">
        <x:f>MAX(F118-G118,0)</x:f>
        <x:v>0</x:v>
      </x:c>
      <x:c r="J118" s="56" t="n">
        <x:v>1134.3479361680947</x:v>
      </x:c>
      <x:c r="K118" s="60" t="n">
        <x:f>H118*J118</x:f>
        <x:v>12477.827297849042</x:v>
      </x:c>
      <x:c r="L118" s="52" t="str">
        <x:f>IF(I118&gt;=MAX(2,E118*0.5),"Дефицит",IF(H118&gt;=MAX(3,E118*0.75),"Избыток","Норма"))</x:f>
        <x:v>Избыток</x:v>
      </x:c>
    </x:row>
    <x:row r="119">
      <x:c r="A119" s="48" t="str">
        <x:v>UM-024</x:v>
      </x:c>
      <x:c r="B119" s="48" t="str">
        <x:v>Топ с длинным рукавом</x:v>
      </x:c>
      <x:c r="C119" s="48" t="str">
        <x:v>Блузки</x:v>
      </x:c>
      <x:c r="D119" s="48" t="str">
        <x:v>M</x:v>
      </x:c>
      <x:c r="E119" s="56" t="n">
        <x:v>5</x:v>
      </x:c>
      <x:c r="F119" s="60" t="n">
        <x:f>E119*1.5</x:f>
        <x:v>7.5</x:v>
      </x:c>
      <x:c r="G119" s="56" t="n">
        <x:v>15</x:v>
      </x:c>
      <x:c r="H119" s="60" t="n">
        <x:f>MAX(G119-F119,0)</x:f>
        <x:v>7.5</x:v>
      </x:c>
      <x:c r="I119" s="60" t="n">
        <x:f>MAX(F119-G119,0)</x:f>
        <x:v>0</x:v>
      </x:c>
      <x:c r="J119" s="56" t="n">
        <x:v>1134.3479361680947</x:v>
      </x:c>
      <x:c r="K119" s="60" t="n">
        <x:f>H119*J119</x:f>
        <x:v>8507.60952126071</x:v>
      </x:c>
      <x:c r="L119" s="52" t="str">
        <x:f>IF(I119&gt;=MAX(2,E119*0.5),"Дефицит",IF(H119&gt;=MAX(3,E119*0.75),"Избыток","Норма"))</x:f>
        <x:v>Избыток</x:v>
      </x:c>
    </x:row>
    <x:row r="120">
      <x:c r="A120" s="48" t="str">
        <x:v>UM-024</x:v>
      </x:c>
      <x:c r="B120" s="48" t="str">
        <x:v>Топ с длинным рукавом</x:v>
      </x:c>
      <x:c r="C120" s="48" t="str">
        <x:v>Блузки</x:v>
      </x:c>
      <x:c r="D120" s="48" t="str">
        <x:v>L</x:v>
      </x:c>
      <x:c r="E120" s="56" t="n">
        <x:v>5</x:v>
      </x:c>
      <x:c r="F120" s="60" t="n">
        <x:f>E120*1.5</x:f>
        <x:v>7.5</x:v>
      </x:c>
      <x:c r="G120" s="56" t="n">
        <x:v>8</x:v>
      </x:c>
      <x:c r="H120" s="60" t="n">
        <x:f>MAX(G120-F120,0)</x:f>
        <x:v>0.5</x:v>
      </x:c>
      <x:c r="I120" s="60" t="n">
        <x:f>MAX(F120-G120,0)</x:f>
        <x:v>0</x:v>
      </x:c>
      <x:c r="J120" s="56" t="n">
        <x:v>1134.3479361680947</x:v>
      </x:c>
      <x:c r="K120" s="60" t="n">
        <x:f>H120*J120</x:f>
        <x:v>567.1739680840474</x:v>
      </x:c>
      <x:c r="L120" s="52" t="str">
        <x:f>IF(I120&gt;=MAX(2,E120*0.5),"Дефицит",IF(H120&gt;=MAX(3,E120*0.75),"Избыток","Норма"))</x:f>
        <x:v>Норма</x:v>
      </x:c>
    </x:row>
    <x:row r="121">
      <x:c r="A121" s="48" t="str">
        <x:v>UM-024</x:v>
      </x:c>
      <x:c r="B121" s="48" t="str">
        <x:v>Топ с длинным рукавом</x:v>
      </x:c>
      <x:c r="C121" s="48" t="str">
        <x:v>Блузки</x:v>
      </x:c>
      <x:c r="D121" s="48" t="str">
        <x:v>XL</x:v>
      </x:c>
      <x:c r="E121" s="56" t="n">
        <x:v>4</x:v>
      </x:c>
      <x:c r="F121" s="60" t="n">
        <x:f>E121*1.5</x:f>
        <x:v>6</x:v>
      </x:c>
      <x:c r="G121" s="56" t="n">
        <x:v>14</x:v>
      </x:c>
      <x:c r="H121" s="60" t="n">
        <x:f>MAX(G121-F121,0)</x:f>
        <x:v>8</x:v>
      </x:c>
      <x:c r="I121" s="60" t="n">
        <x:f>MAX(F121-G121,0)</x:f>
        <x:v>0</x:v>
      </x:c>
      <x:c r="J121" s="56" t="n">
        <x:v>1134.3479361680947</x:v>
      </x:c>
      <x:c r="K121" s="60" t="n">
        <x:f>H121*J121</x:f>
        <x:v>9074.783489344758</x:v>
      </x:c>
      <x:c r="L121" s="52" t="str">
        <x:f>IF(I121&gt;=MAX(2,E121*0.5),"Дефицит",IF(H121&gt;=MAX(3,E121*0.75),"Избыток","Норма"))</x:f>
        <x:v>Избыток</x:v>
      </x:c>
    </x:row>
    <x:row r="122">
      <x:c r="A122" s="48" t="str">
        <x:v>UM-025</x:v>
      </x:c>
      <x:c r="B122" s="48" t="str">
        <x:v>Блузка в полоску</x:v>
      </x:c>
      <x:c r="C122" s="48" t="str">
        <x:v>Блузки</x:v>
      </x:c>
      <x:c r="D122" s="48" t="str">
        <x:v>XS</x:v>
      </x:c>
      <x:c r="E122" s="56" t="n">
        <x:v>2</x:v>
      </x:c>
      <x:c r="F122" s="60" t="n">
        <x:f>E122*1.5</x:f>
        <x:v>3</x:v>
      </x:c>
      <x:c r="G122" s="56" t="n">
        <x:v>3</x:v>
      </x:c>
      <x:c r="H122" s="60" t="n">
        <x:f>MAX(G122-F122,0)</x:f>
        <x:v>0</x:v>
      </x:c>
      <x:c r="I122" s="60" t="n">
        <x:f>MAX(F122-G122,0)</x:f>
        <x:v>0</x:v>
      </x:c>
      <x:c r="J122" s="56" t="n">
        <x:v>731.7843373843542</x:v>
      </x:c>
      <x:c r="K122" s="60" t="n">
        <x:f>H122*J122</x:f>
        <x:v>0</x:v>
      </x:c>
      <x:c r="L122" s="52" t="str">
        <x:f>IF(I122&gt;=MAX(2,E122*0.5),"Дефицит",IF(H122&gt;=MAX(3,E122*0.75),"Избыток","Норма"))</x:f>
        <x:v>Норма</x:v>
      </x:c>
    </x:row>
    <x:row r="123">
      <x:c r="A123" s="48" t="str">
        <x:v>UM-025</x:v>
      </x:c>
      <x:c r="B123" s="48" t="str">
        <x:v>Блузка в полоску</x:v>
      </x:c>
      <x:c r="C123" s="48" t="str">
        <x:v>Блузки</x:v>
      </x:c>
      <x:c r="D123" s="48" t="str">
        <x:v>S</x:v>
      </x:c>
      <x:c r="E123" s="56" t="n">
        <x:v>7</x:v>
      </x:c>
      <x:c r="F123" s="60" t="n">
        <x:f>E123*1.5</x:f>
        <x:v>10.5</x:v>
      </x:c>
      <x:c r="G123" s="56" t="n">
        <x:v>9</x:v>
      </x:c>
      <x:c r="H123" s="60" t="n">
        <x:f>MAX(G123-F123,0)</x:f>
        <x:v>0</x:v>
      </x:c>
      <x:c r="I123" s="60" t="n">
        <x:f>MAX(F123-G123,0)</x:f>
        <x:v>1.5</x:v>
      </x:c>
      <x:c r="J123" s="56" t="n">
        <x:v>731.7843373843542</x:v>
      </x:c>
      <x:c r="K123" s="60" t="n">
        <x:f>H123*J123</x:f>
        <x:v>0</x:v>
      </x:c>
      <x:c r="L123" s="52" t="str">
        <x:f>IF(I123&gt;=MAX(2,E123*0.5),"Дефицит",IF(H123&gt;=MAX(3,E123*0.75),"Избыток","Норма"))</x:f>
        <x:v>Норма</x:v>
      </x:c>
    </x:row>
    <x:row r="124">
      <x:c r="A124" s="48" t="str">
        <x:v>UM-025</x:v>
      </x:c>
      <x:c r="B124" s="48" t="str">
        <x:v>Блузка в полоску</x:v>
      </x:c>
      <x:c r="C124" s="48" t="str">
        <x:v>Блузки</x:v>
      </x:c>
      <x:c r="D124" s="48" t="str">
        <x:v>M</x:v>
      </x:c>
      <x:c r="E124" s="56" t="n">
        <x:v>9</x:v>
      </x:c>
      <x:c r="F124" s="60" t="n">
        <x:f>E124*1.5</x:f>
        <x:v>13.5</x:v>
      </x:c>
      <x:c r="G124" s="56" t="n">
        <x:v>16</x:v>
      </x:c>
      <x:c r="H124" s="60" t="n">
        <x:f>MAX(G124-F124,0)</x:f>
        <x:v>2.5</x:v>
      </x:c>
      <x:c r="I124" s="60" t="n">
        <x:f>MAX(F124-G124,0)</x:f>
        <x:v>0</x:v>
      </x:c>
      <x:c r="J124" s="56" t="n">
        <x:v>731.7843373843542</x:v>
      </x:c>
      <x:c r="K124" s="60" t="n">
        <x:f>H124*J124</x:f>
        <x:v>1829.4608434608856</x:v>
      </x:c>
      <x:c r="L124" s="52" t="str">
        <x:f>IF(I124&gt;=MAX(2,E124*0.5),"Дефицит",IF(H124&gt;=MAX(3,E124*0.75),"Избыток","Норма"))</x:f>
        <x:v>Норма</x:v>
      </x:c>
    </x:row>
    <x:row r="125">
      <x:c r="A125" s="48" t="str">
        <x:v>UM-025</x:v>
      </x:c>
      <x:c r="B125" s="48" t="str">
        <x:v>Блузка в полоску</x:v>
      </x:c>
      <x:c r="C125" s="48" t="str">
        <x:v>Блузки</x:v>
      </x:c>
      <x:c r="D125" s="48" t="str">
        <x:v>L</x:v>
      </x:c>
      <x:c r="E125" s="56" t="n">
        <x:v>6</x:v>
      </x:c>
      <x:c r="F125" s="60" t="n">
        <x:f>E125*1.5</x:f>
        <x:v>9</x:v>
      </x:c>
      <x:c r="G125" s="56" t="n">
        <x:v>15</x:v>
      </x:c>
      <x:c r="H125" s="60" t="n">
        <x:f>MAX(G125-F125,0)</x:f>
        <x:v>6</x:v>
      </x:c>
      <x:c r="I125" s="60" t="n">
        <x:f>MAX(F125-G125,0)</x:f>
        <x:v>0</x:v>
      </x:c>
      <x:c r="J125" s="56" t="n">
        <x:v>731.7843373843542</x:v>
      </x:c>
      <x:c r="K125" s="60" t="n">
        <x:f>H125*J125</x:f>
        <x:v>4390.706024306125</x:v>
      </x:c>
      <x:c r="L125" s="52" t="str">
        <x:f>IF(I125&gt;=MAX(2,E125*0.5),"Дефицит",IF(H125&gt;=MAX(3,E125*0.75),"Избыток","Норма"))</x:f>
        <x:v>Избыток</x:v>
      </x:c>
    </x:row>
    <x:row r="126">
      <x:c r="A126" s="48" t="str">
        <x:v>UM-025</x:v>
      </x:c>
      <x:c r="B126" s="48" t="str">
        <x:v>Блузка в полоску</x:v>
      </x:c>
      <x:c r="C126" s="48" t="str">
        <x:v>Блузки</x:v>
      </x:c>
      <x:c r="D126" s="48" t="str">
        <x:v>XL</x:v>
      </x:c>
      <x:c r="E126" s="56" t="n">
        <x:v>3</x:v>
      </x:c>
      <x:c r="F126" s="60" t="n">
        <x:f>E126*1.5</x:f>
        <x:v>4.5</x:v>
      </x:c>
      <x:c r="G126" s="56" t="n">
        <x:v>7</x:v>
      </x:c>
      <x:c r="H126" s="60" t="n">
        <x:f>MAX(G126-F126,0)</x:f>
        <x:v>2.5</x:v>
      </x:c>
      <x:c r="I126" s="60" t="n">
        <x:f>MAX(F126-G126,0)</x:f>
        <x:v>0</x:v>
      </x:c>
      <x:c r="J126" s="56" t="n">
        <x:v>731.7843373843542</x:v>
      </x:c>
      <x:c r="K126" s="60" t="n">
        <x:f>H126*J126</x:f>
        <x:v>1829.4608434608856</x:v>
      </x:c>
      <x:c r="L126" s="52" t="str">
        <x:f>IF(I126&gt;=MAX(2,E126*0.5),"Дефицит",IF(H126&gt;=MAX(3,E126*0.75),"Избыток","Норма"))</x:f>
        <x:v>Норма</x:v>
      </x:c>
    </x:row>
    <x:row r="127">
      <x:c r="A127" s="48" t="str">
        <x:v>UM-026</x:v>
      </x:c>
      <x:c r="B127" s="48" t="str">
        <x:v>Боди-рубашка</x:v>
      </x:c>
      <x:c r="C127" s="48" t="str">
        <x:v>Блузки</x:v>
      </x:c>
      <x:c r="D127" s="48" t="str">
        <x:v>XS</x:v>
      </x:c>
      <x:c r="E127" s="56" t="n">
        <x:v>3</x:v>
      </x:c>
      <x:c r="F127" s="60" t="n">
        <x:f>E127*1.5</x:f>
        <x:v>4.5</x:v>
      </x:c>
      <x:c r="G127" s="56" t="n">
        <x:v>5</x:v>
      </x:c>
      <x:c r="H127" s="60" t="n">
        <x:f>MAX(G127-F127,0)</x:f>
        <x:v>0.5</x:v>
      </x:c>
      <x:c r="I127" s="60" t="n">
        <x:f>MAX(F127-G127,0)</x:f>
        <x:v>0</x:v>
      </x:c>
      <x:c r="J127" s="56" t="n">
        <x:v>739.261628604731</x:v>
      </x:c>
      <x:c r="K127" s="60" t="n">
        <x:f>H127*J127</x:f>
        <x:v>369.6308143023655</x:v>
      </x:c>
      <x:c r="L127" s="52" t="str">
        <x:f>IF(I127&gt;=MAX(2,E127*0.5),"Дефицит",IF(H127&gt;=MAX(3,E127*0.75),"Избыток","Норма"))</x:f>
        <x:v>Норма</x:v>
      </x:c>
    </x:row>
    <x:row r="128">
      <x:c r="A128" s="48" t="str">
        <x:v>UM-026</x:v>
      </x:c>
      <x:c r="B128" s="48" t="str">
        <x:v>Боди-рубашка</x:v>
      </x:c>
      <x:c r="C128" s="48" t="str">
        <x:v>Блузки</x:v>
      </x:c>
      <x:c r="D128" s="48" t="str">
        <x:v>S</x:v>
      </x:c>
      <x:c r="E128" s="56" t="n">
        <x:v>8</x:v>
      </x:c>
      <x:c r="F128" s="60" t="n">
        <x:f>E128*1.5</x:f>
        <x:v>12</x:v>
      </x:c>
      <x:c r="G128" s="56" t="n">
        <x:v>12</x:v>
      </x:c>
      <x:c r="H128" s="60" t="n">
        <x:f>MAX(G128-F128,0)</x:f>
        <x:v>0</x:v>
      </x:c>
      <x:c r="I128" s="60" t="n">
        <x:f>MAX(F128-G128,0)</x:f>
        <x:v>0</x:v>
      </x:c>
      <x:c r="J128" s="56" t="n">
        <x:v>739.261628604731</x:v>
      </x:c>
      <x:c r="K128" s="60" t="n">
        <x:f>H128*J128</x:f>
        <x:v>0</x:v>
      </x:c>
      <x:c r="L128" s="52" t="str">
        <x:f>IF(I128&gt;=MAX(2,E128*0.5),"Дефицит",IF(H128&gt;=MAX(3,E128*0.75),"Избыток","Норма"))</x:f>
        <x:v>Норма</x:v>
      </x:c>
    </x:row>
    <x:row r="129">
      <x:c r="A129" s="48" t="str">
        <x:v>UM-026</x:v>
      </x:c>
      <x:c r="B129" s="48" t="str">
        <x:v>Боди-рубашка</x:v>
      </x:c>
      <x:c r="C129" s="48" t="str">
        <x:v>Блузки</x:v>
      </x:c>
      <x:c r="D129" s="48" t="str">
        <x:v>M</x:v>
      </x:c>
      <x:c r="E129" s="56" t="n">
        <x:v>10</x:v>
      </x:c>
      <x:c r="F129" s="60" t="n">
        <x:f>E129*1.5</x:f>
        <x:v>15</x:v>
      </x:c>
      <x:c r="G129" s="56" t="n">
        <x:v>11</x:v>
      </x:c>
      <x:c r="H129" s="60" t="n">
        <x:f>MAX(G129-F129,0)</x:f>
        <x:v>0</x:v>
      </x:c>
      <x:c r="I129" s="60" t="n">
        <x:f>MAX(F129-G129,0)</x:f>
        <x:v>4</x:v>
      </x:c>
      <x:c r="J129" s="56" t="n">
        <x:v>739.261628604731</x:v>
      </x:c>
      <x:c r="K129" s="60" t="n">
        <x:f>H129*J129</x:f>
        <x:v>0</x:v>
      </x:c>
      <x:c r="L129" s="52" t="str">
        <x:f>IF(I129&gt;=MAX(2,E129*0.5),"Дефицит",IF(H129&gt;=MAX(3,E129*0.75),"Избыток","Норма"))</x:f>
        <x:v>Норма</x:v>
      </x:c>
    </x:row>
    <x:row r="130">
      <x:c r="A130" s="48" t="str">
        <x:v>UM-026</x:v>
      </x:c>
      <x:c r="B130" s="48" t="str">
        <x:v>Боди-рубашка</x:v>
      </x:c>
      <x:c r="C130" s="48" t="str">
        <x:v>Блузки</x:v>
      </x:c>
      <x:c r="D130" s="48" t="str">
        <x:v>L</x:v>
      </x:c>
      <x:c r="E130" s="56" t="n">
        <x:v>8</x:v>
      </x:c>
      <x:c r="F130" s="60" t="n">
        <x:f>E130*1.5</x:f>
        <x:v>12</x:v>
      </x:c>
      <x:c r="G130" s="56" t="n">
        <x:v>14</x:v>
      </x:c>
      <x:c r="H130" s="60" t="n">
        <x:f>MAX(G130-F130,0)</x:f>
        <x:v>2</x:v>
      </x:c>
      <x:c r="I130" s="60" t="n">
        <x:f>MAX(F130-G130,0)</x:f>
        <x:v>0</x:v>
      </x:c>
      <x:c r="J130" s="56" t="n">
        <x:v>739.261628604731</x:v>
      </x:c>
      <x:c r="K130" s="60" t="n">
        <x:f>H130*J130</x:f>
        <x:v>1478.523257209462</x:v>
      </x:c>
      <x:c r="L130" s="52" t="str">
        <x:f>IF(I130&gt;=MAX(2,E130*0.5),"Дефицит",IF(H130&gt;=MAX(3,E130*0.75),"Избыток","Норма"))</x:f>
        <x:v>Норма</x:v>
      </x:c>
    </x:row>
    <x:row r="131">
      <x:c r="A131" s="48" t="str">
        <x:v>UM-026</x:v>
      </x:c>
      <x:c r="B131" s="48" t="str">
        <x:v>Боди-рубашка</x:v>
      </x:c>
      <x:c r="C131" s="48" t="str">
        <x:v>Блузки</x:v>
      </x:c>
      <x:c r="D131" s="48" t="str">
        <x:v>XL</x:v>
      </x:c>
      <x:c r="E131" s="56" t="n">
        <x:v>5</x:v>
      </x:c>
      <x:c r="F131" s="60" t="n">
        <x:f>E131*1.5</x:f>
        <x:v>7.5</x:v>
      </x:c>
      <x:c r="G131" s="56" t="n">
        <x:v>5</x:v>
      </x:c>
      <x:c r="H131" s="60" t="n">
        <x:f>MAX(G131-F131,0)</x:f>
        <x:v>0</x:v>
      </x:c>
      <x:c r="I131" s="60" t="n">
        <x:f>MAX(F131-G131,0)</x:f>
        <x:v>2.5</x:v>
      </x:c>
      <x:c r="J131" s="56" t="n">
        <x:v>739.261628604731</x:v>
      </x:c>
      <x:c r="K131" s="60" t="n">
        <x:f>H131*J131</x:f>
        <x:v>0</x:v>
      </x:c>
      <x:c r="L131" s="52" t="str">
        <x:f>IF(I131&gt;=MAX(2,E131*0.5),"Дефицит",IF(H131&gt;=MAX(3,E131*0.75),"Избыток","Норма"))</x:f>
        <x:v>Дефицит</x:v>
      </x:c>
    </x:row>
    <x:row r="132">
      <x:c r="A132" s="48" t="str">
        <x:v>UM-027</x:v>
      </x:c>
      <x:c r="B132" s="48" t="str">
        <x:v>Палаццо</x:v>
      </x:c>
      <x:c r="C132" s="48" t="str">
        <x:v>Брюки</x:v>
      </x:c>
      <x:c r="D132" s="48" t="str">
        <x:v>XS</x:v>
      </x:c>
      <x:c r="E132" s="56" t="n">
        <x:v>2</x:v>
      </x:c>
      <x:c r="F132" s="60" t="n">
        <x:f>E132*1.5</x:f>
        <x:v>3</x:v>
      </x:c>
      <x:c r="G132" s="56" t="n">
        <x:v>3</x:v>
      </x:c>
      <x:c r="H132" s="60" t="n">
        <x:f>MAX(G132-F132,0)</x:f>
        <x:v>0</x:v>
      </x:c>
      <x:c r="I132" s="60" t="n">
        <x:f>MAX(F132-G132,0)</x:f>
        <x:v>0</x:v>
      </x:c>
      <x:c r="J132" s="56" t="n">
        <x:v>1389.6356256852507</x:v>
      </x:c>
      <x:c r="K132" s="60" t="n">
        <x:f>H132*J132</x:f>
        <x:v>0</x:v>
      </x:c>
      <x:c r="L132" s="52" t="str">
        <x:f>IF(I132&gt;=MAX(2,E132*0.5),"Дефицит",IF(H132&gt;=MAX(3,E132*0.75),"Избыток","Норма"))</x:f>
        <x:v>Норма</x:v>
      </x:c>
    </x:row>
    <x:row r="133">
      <x:c r="A133" s="48" t="str">
        <x:v>UM-027</x:v>
      </x:c>
      <x:c r="B133" s="48" t="str">
        <x:v>Палаццо</x:v>
      </x:c>
      <x:c r="C133" s="48" t="str">
        <x:v>Брюки</x:v>
      </x:c>
      <x:c r="D133" s="48" t="str">
        <x:v>S</x:v>
      </x:c>
      <x:c r="E133" s="56" t="n">
        <x:v>3</x:v>
      </x:c>
      <x:c r="F133" s="60" t="n">
        <x:f>E133*1.5</x:f>
        <x:v>4.5</x:v>
      </x:c>
      <x:c r="G133" s="56" t="n">
        <x:v>6</x:v>
      </x:c>
      <x:c r="H133" s="60" t="n">
        <x:f>MAX(G133-F133,0)</x:f>
        <x:v>1.5</x:v>
      </x:c>
      <x:c r="I133" s="60" t="n">
        <x:f>MAX(F133-G133,0)</x:f>
        <x:v>0</x:v>
      </x:c>
      <x:c r="J133" s="56" t="n">
        <x:v>1389.6356256852507</x:v>
      </x:c>
      <x:c r="K133" s="60" t="n">
        <x:f>H133*J133</x:f>
        <x:v>2084.453438527876</x:v>
      </x:c>
      <x:c r="L133" s="52" t="str">
        <x:f>IF(I133&gt;=MAX(2,E133*0.5),"Дефицит",IF(H133&gt;=MAX(3,E133*0.75),"Избыток","Норма"))</x:f>
        <x:v>Норма</x:v>
      </x:c>
    </x:row>
    <x:row r="134">
      <x:c r="A134" s="48" t="str">
        <x:v>UM-027</x:v>
      </x:c>
      <x:c r="B134" s="48" t="str">
        <x:v>Палаццо</x:v>
      </x:c>
      <x:c r="C134" s="48" t="str">
        <x:v>Брюки</x:v>
      </x:c>
      <x:c r="D134" s="48" t="str">
        <x:v>M</x:v>
      </x:c>
      <x:c r="E134" s="56" t="n">
        <x:v>4</x:v>
      </x:c>
      <x:c r="F134" s="60" t="n">
        <x:f>E134*1.5</x:f>
        <x:v>6</x:v>
      </x:c>
      <x:c r="G134" s="56" t="n">
        <x:v>4</x:v>
      </x:c>
      <x:c r="H134" s="60" t="n">
        <x:f>MAX(G134-F134,0)</x:f>
        <x:v>0</x:v>
      </x:c>
      <x:c r="I134" s="60" t="n">
        <x:f>MAX(F134-G134,0)</x:f>
        <x:v>2</x:v>
      </x:c>
      <x:c r="J134" s="56" t="n">
        <x:v>1389.6356256852507</x:v>
      </x:c>
      <x:c r="K134" s="60" t="n">
        <x:f>H134*J134</x:f>
        <x:v>0</x:v>
      </x:c>
      <x:c r="L134" s="52" t="str">
        <x:f>IF(I134&gt;=MAX(2,E134*0.5),"Дефицит",IF(H134&gt;=MAX(3,E134*0.75),"Избыток","Норма"))</x:f>
        <x:v>Дефицит</x:v>
      </x:c>
    </x:row>
    <x:row r="135">
      <x:c r="A135" s="48" t="str">
        <x:v>UM-027</x:v>
      </x:c>
      <x:c r="B135" s="48" t="str">
        <x:v>Палаццо</x:v>
      </x:c>
      <x:c r="C135" s="48" t="str">
        <x:v>Брюки</x:v>
      </x:c>
      <x:c r="D135" s="48" t="str">
        <x:v>L</x:v>
      </x:c>
      <x:c r="E135" s="56" t="n">
        <x:v>4</x:v>
      </x:c>
      <x:c r="F135" s="60" t="n">
        <x:f>E135*1.5</x:f>
        <x:v>6</x:v>
      </x:c>
      <x:c r="G135" s="56" t="n">
        <x:v>7</x:v>
      </x:c>
      <x:c r="H135" s="60" t="n">
        <x:f>MAX(G135-F135,0)</x:f>
        <x:v>1</x:v>
      </x:c>
      <x:c r="I135" s="60" t="n">
        <x:f>MAX(F135-G135,0)</x:f>
        <x:v>0</x:v>
      </x:c>
      <x:c r="J135" s="56" t="n">
        <x:v>1389.6356256852507</x:v>
      </x:c>
      <x:c r="K135" s="60" t="n">
        <x:f>H135*J135</x:f>
        <x:v>1389.6356256852507</x:v>
      </x:c>
      <x:c r="L135" s="52" t="str">
        <x:f>IF(I135&gt;=MAX(2,E135*0.5),"Дефицит",IF(H135&gt;=MAX(3,E135*0.75),"Избыток","Норма"))</x:f>
        <x:v>Норма</x:v>
      </x:c>
    </x:row>
    <x:row r="136">
      <x:c r="A136" s="48" t="str">
        <x:v>UM-027</x:v>
      </x:c>
      <x:c r="B136" s="48" t="str">
        <x:v>Палаццо</x:v>
      </x:c>
      <x:c r="C136" s="48" t="str">
        <x:v>Брюки</x:v>
      </x:c>
      <x:c r="D136" s="48" t="str">
        <x:v>XL</x:v>
      </x:c>
      <x:c r="E136" s="56" t="n">
        <x:v>2</x:v>
      </x:c>
      <x:c r="F136" s="60" t="n">
        <x:f>E136*1.5</x:f>
        <x:v>3</x:v>
      </x:c>
      <x:c r="G136" s="56" t="n">
        <x:v>1</x:v>
      </x:c>
      <x:c r="H136" s="60" t="n">
        <x:f>MAX(G136-F136,0)</x:f>
        <x:v>0</x:v>
      </x:c>
      <x:c r="I136" s="60" t="n">
        <x:f>MAX(F136-G136,0)</x:f>
        <x:v>2</x:v>
      </x:c>
      <x:c r="J136" s="56" t="n">
        <x:v>1389.6356256852507</x:v>
      </x:c>
      <x:c r="K136" s="60" t="n">
        <x:f>H136*J136</x:f>
        <x:v>0</x:v>
      </x:c>
      <x:c r="L136" s="52" t="str">
        <x:f>IF(I136&gt;=MAX(2,E136*0.5),"Дефицит",IF(H136&gt;=MAX(3,E136*0.75),"Избыток","Норма"))</x:f>
        <x:v>Дефицит</x:v>
      </x:c>
    </x:row>
    <x:row r="137">
      <x:c r="A137" s="48" t="str">
        <x:v>UM-028</x:v>
      </x:c>
      <x:c r="B137" s="48" t="str">
        <x:v>Классические прямые</x:v>
      </x:c>
      <x:c r="C137" s="48" t="str">
        <x:v>Брюки</x:v>
      </x:c>
      <x:c r="D137" s="48" t="str">
        <x:v>XS</x:v>
      </x:c>
      <x:c r="E137" s="56" t="n">
        <x:v>2</x:v>
      </x:c>
      <x:c r="F137" s="60" t="n">
        <x:f>E137*1.5</x:f>
        <x:v>3</x:v>
      </x:c>
      <x:c r="G137" s="56" t="n">
        <x:v>7</x:v>
      </x:c>
      <x:c r="H137" s="60" t="n">
        <x:f>MAX(G137-F137,0)</x:f>
        <x:v>4</x:v>
      </x:c>
      <x:c r="I137" s="60" t="n">
        <x:f>MAX(F137-G137,0)</x:f>
        <x:v>0</x:v>
      </x:c>
      <x:c r="J137" s="56" t="n">
        <x:v>790.5329375967488</x:v>
      </x:c>
      <x:c r="K137" s="60" t="n">
        <x:f>H137*J137</x:f>
        <x:v>3162.131750386995</x:v>
      </x:c>
      <x:c r="L137" s="52" t="str">
        <x:f>IF(I137&gt;=MAX(2,E137*0.5),"Дефицит",IF(H137&gt;=MAX(3,E137*0.75),"Избыток","Норма"))</x:f>
        <x:v>Избыток</x:v>
      </x:c>
    </x:row>
    <x:row r="138">
      <x:c r="A138" s="48" t="str">
        <x:v>UM-028</x:v>
      </x:c>
      <x:c r="B138" s="48" t="str">
        <x:v>Классические прямые</x:v>
      </x:c>
      <x:c r="C138" s="48" t="str">
        <x:v>Брюки</x:v>
      </x:c>
      <x:c r="D138" s="48" t="str">
        <x:v>S</x:v>
      </x:c>
      <x:c r="E138" s="56" t="n">
        <x:v>5</x:v>
      </x:c>
      <x:c r="F138" s="60" t="n">
        <x:f>E138*1.5</x:f>
        <x:v>7.5</x:v>
      </x:c>
      <x:c r="G138" s="56" t="n">
        <x:v>8</x:v>
      </x:c>
      <x:c r="H138" s="60" t="n">
        <x:f>MAX(G138-F138,0)</x:f>
        <x:v>0.5</x:v>
      </x:c>
      <x:c r="I138" s="60" t="n">
        <x:f>MAX(F138-G138,0)</x:f>
        <x:v>0</x:v>
      </x:c>
      <x:c r="J138" s="56" t="n">
        <x:v>790.5329375967488</x:v>
      </x:c>
      <x:c r="K138" s="60" t="n">
        <x:f>H138*J138</x:f>
        <x:v>395.2664687983744</x:v>
      </x:c>
      <x:c r="L138" s="52" t="str">
        <x:f>IF(I138&gt;=MAX(2,E138*0.5),"Дефицит",IF(H138&gt;=MAX(3,E138*0.75),"Избыток","Норма"))</x:f>
        <x:v>Норма</x:v>
      </x:c>
    </x:row>
    <x:row r="139">
      <x:c r="A139" s="48" t="str">
        <x:v>UM-028</x:v>
      </x:c>
      <x:c r="B139" s="48" t="str">
        <x:v>Классические прямые</x:v>
      </x:c>
      <x:c r="C139" s="48" t="str">
        <x:v>Брюки</x:v>
      </x:c>
      <x:c r="D139" s="48" t="str">
        <x:v>M</x:v>
      </x:c>
      <x:c r="E139" s="56" t="n">
        <x:v>6</x:v>
      </x:c>
      <x:c r="F139" s="60" t="n">
        <x:f>E139*1.5</x:f>
        <x:v>9</x:v>
      </x:c>
      <x:c r="G139" s="56" t="n">
        <x:v>9</x:v>
      </x:c>
      <x:c r="H139" s="60" t="n">
        <x:f>MAX(G139-F139,0)</x:f>
        <x:v>0</x:v>
      </x:c>
      <x:c r="I139" s="60" t="n">
        <x:f>MAX(F139-G139,0)</x:f>
        <x:v>0</x:v>
      </x:c>
      <x:c r="J139" s="56" t="n">
        <x:v>790.5329375967488</x:v>
      </x:c>
      <x:c r="K139" s="60" t="n">
        <x:f>H139*J139</x:f>
        <x:v>0</x:v>
      </x:c>
      <x:c r="L139" s="52" t="str">
        <x:f>IF(I139&gt;=MAX(2,E139*0.5),"Дефицит",IF(H139&gt;=MAX(3,E139*0.75),"Избыток","Норма"))</x:f>
        <x:v>Норма</x:v>
      </x:c>
    </x:row>
    <x:row r="140">
      <x:c r="A140" s="48" t="str">
        <x:v>UM-028</x:v>
      </x:c>
      <x:c r="B140" s="48" t="str">
        <x:v>Классические прямые</x:v>
      </x:c>
      <x:c r="C140" s="48" t="str">
        <x:v>Брюки</x:v>
      </x:c>
      <x:c r="D140" s="48" t="str">
        <x:v>L</x:v>
      </x:c>
      <x:c r="E140" s="56" t="n">
        <x:v>6</x:v>
      </x:c>
      <x:c r="F140" s="60" t="n">
        <x:f>E140*1.5</x:f>
        <x:v>9</x:v>
      </x:c>
      <x:c r="G140" s="56" t="n">
        <x:v>5</x:v>
      </x:c>
      <x:c r="H140" s="60" t="n">
        <x:f>MAX(G140-F140,0)</x:f>
        <x:v>0</x:v>
      </x:c>
      <x:c r="I140" s="60" t="n">
        <x:f>MAX(F140-G140,0)</x:f>
        <x:v>4</x:v>
      </x:c>
      <x:c r="J140" s="56" t="n">
        <x:v>790.5329375967488</x:v>
      </x:c>
      <x:c r="K140" s="60" t="n">
        <x:f>H140*J140</x:f>
        <x:v>0</x:v>
      </x:c>
      <x:c r="L140" s="52" t="str">
        <x:f>IF(I140&gt;=MAX(2,E140*0.5),"Дефицит",IF(H140&gt;=MAX(3,E140*0.75),"Избыток","Норма"))</x:f>
        <x:v>Дефицит</x:v>
      </x:c>
    </x:row>
    <x:row r="141">
      <x:c r="A141" s="48" t="str">
        <x:v>UM-028</x:v>
      </x:c>
      <x:c r="B141" s="48" t="str">
        <x:v>Классические прямые</x:v>
      </x:c>
      <x:c r="C141" s="48" t="str">
        <x:v>Брюки</x:v>
      </x:c>
      <x:c r="D141" s="48" t="str">
        <x:v>XL</x:v>
      </x:c>
      <x:c r="E141" s="56" t="n">
        <x:v>3</x:v>
      </x:c>
      <x:c r="F141" s="60" t="n">
        <x:f>E141*1.5</x:f>
        <x:v>4.5</x:v>
      </x:c>
      <x:c r="G141" s="56" t="n">
        <x:v>2</x:v>
      </x:c>
      <x:c r="H141" s="60" t="n">
        <x:f>MAX(G141-F141,0)</x:f>
        <x:v>0</x:v>
      </x:c>
      <x:c r="I141" s="60" t="n">
        <x:f>MAX(F141-G141,0)</x:f>
        <x:v>2.5</x:v>
      </x:c>
      <x:c r="J141" s="56" t="n">
        <x:v>790.5329375967488</x:v>
      </x:c>
      <x:c r="K141" s="60" t="n">
        <x:f>H141*J141</x:f>
        <x:v>0</x:v>
      </x:c>
      <x:c r="L141" s="52" t="str">
        <x:f>IF(I141&gt;=MAX(2,E141*0.5),"Дефицит",IF(H141&gt;=MAX(3,E141*0.75),"Избыток","Норма"))</x:f>
        <x:v>Дефицит</x:v>
      </x:c>
    </x:row>
    <x:row r="142">
      <x:c r="A142" s="48" t="str">
        <x:v>UM-029</x:v>
      </x:c>
      <x:c r="B142" s="48" t="str">
        <x:v>Карго</x:v>
      </x:c>
      <x:c r="C142" s="48" t="str">
        <x:v>Брюки</x:v>
      </x:c>
      <x:c r="D142" s="48" t="str">
        <x:v>XS</x:v>
      </x:c>
      <x:c r="E142" s="56" t="n">
        <x:v>1</x:v>
      </x:c>
      <x:c r="F142" s="60" t="n">
        <x:f>E142*1.5</x:f>
        <x:v>1.5</x:v>
      </x:c>
      <x:c r="G142" s="56" t="n">
        <x:v>1</x:v>
      </x:c>
      <x:c r="H142" s="60" t="n">
        <x:f>MAX(G142-F142,0)</x:f>
        <x:v>0</x:v>
      </x:c>
      <x:c r="I142" s="60" t="n">
        <x:f>MAX(F142-G142,0)</x:f>
        <x:v>0.5</x:v>
      </x:c>
      <x:c r="J142" s="56" t="n">
        <x:v>1208.8260693958912</x:v>
      </x:c>
      <x:c r="K142" s="60" t="n">
        <x:f>H142*J142</x:f>
        <x:v>0</x:v>
      </x:c>
      <x:c r="L142" s="52" t="str">
        <x:f>IF(I142&gt;=MAX(2,E142*0.5),"Дефицит",IF(H142&gt;=MAX(3,E142*0.75),"Избыток","Норма"))</x:f>
        <x:v>Норма</x:v>
      </x:c>
    </x:row>
    <x:row r="143">
      <x:c r="A143" s="48" t="str">
        <x:v>UM-029</x:v>
      </x:c>
      <x:c r="B143" s="48" t="str">
        <x:v>Карго</x:v>
      </x:c>
      <x:c r="C143" s="48" t="str">
        <x:v>Брюки</x:v>
      </x:c>
      <x:c r="D143" s="48" t="str">
        <x:v>S</x:v>
      </x:c>
      <x:c r="E143" s="56" t="n">
        <x:v>4</x:v>
      </x:c>
      <x:c r="F143" s="60" t="n">
        <x:f>E143*1.5</x:f>
        <x:v>6</x:v>
      </x:c>
      <x:c r="G143" s="56" t="n">
        <x:v>6</x:v>
      </x:c>
      <x:c r="H143" s="60" t="n">
        <x:f>MAX(G143-F143,0)</x:f>
        <x:v>0</x:v>
      </x:c>
      <x:c r="I143" s="60" t="n">
        <x:f>MAX(F143-G143,0)</x:f>
        <x:v>0</x:v>
      </x:c>
      <x:c r="J143" s="56" t="n">
        <x:v>1208.8260693958912</x:v>
      </x:c>
      <x:c r="K143" s="60" t="n">
        <x:f>H143*J143</x:f>
        <x:v>0</x:v>
      </x:c>
      <x:c r="L143" s="52" t="str">
        <x:f>IF(I143&gt;=MAX(2,E143*0.5),"Дефицит",IF(H143&gt;=MAX(3,E143*0.75),"Избыток","Норма"))</x:f>
        <x:v>Норма</x:v>
      </x:c>
    </x:row>
    <x:row r="144">
      <x:c r="A144" s="48" t="str">
        <x:v>UM-029</x:v>
      </x:c>
      <x:c r="B144" s="48" t="str">
        <x:v>Карго</x:v>
      </x:c>
      <x:c r="C144" s="48" t="str">
        <x:v>Брюки</x:v>
      </x:c>
      <x:c r="D144" s="48" t="str">
        <x:v>M</x:v>
      </x:c>
      <x:c r="E144" s="56" t="n">
        <x:v>4</x:v>
      </x:c>
      <x:c r="F144" s="60" t="n">
        <x:f>E144*1.5</x:f>
        <x:v>6</x:v>
      </x:c>
      <x:c r="G144" s="56" t="n">
        <x:v>8</x:v>
      </x:c>
      <x:c r="H144" s="60" t="n">
        <x:f>MAX(G144-F144,0)</x:f>
        <x:v>2</x:v>
      </x:c>
      <x:c r="I144" s="60" t="n">
        <x:f>MAX(F144-G144,0)</x:f>
        <x:v>0</x:v>
      </x:c>
      <x:c r="J144" s="56" t="n">
        <x:v>1208.8260693958912</x:v>
      </x:c>
      <x:c r="K144" s="60" t="n">
        <x:f>H144*J144</x:f>
        <x:v>2417.6521387917824</x:v>
      </x:c>
      <x:c r="L144" s="52" t="str">
        <x:f>IF(I144&gt;=MAX(2,E144*0.5),"Дефицит",IF(H144&gt;=MAX(3,E144*0.75),"Избыток","Норма"))</x:f>
        <x:v>Норма</x:v>
      </x:c>
    </x:row>
    <x:row r="145">
      <x:c r="A145" s="48" t="str">
        <x:v>UM-029</x:v>
      </x:c>
      <x:c r="B145" s="48" t="str">
        <x:v>Карго</x:v>
      </x:c>
      <x:c r="C145" s="48" t="str">
        <x:v>Брюки</x:v>
      </x:c>
      <x:c r="D145" s="48" t="str">
        <x:v>L</x:v>
      </x:c>
      <x:c r="E145" s="56" t="n">
        <x:v>3</x:v>
      </x:c>
      <x:c r="F145" s="60" t="n">
        <x:f>E145*1.5</x:f>
        <x:v>4.5</x:v>
      </x:c>
      <x:c r="G145" s="56" t="n">
        <x:v>4</x:v>
      </x:c>
      <x:c r="H145" s="60" t="n">
        <x:f>MAX(G145-F145,0)</x:f>
        <x:v>0</x:v>
      </x:c>
      <x:c r="I145" s="60" t="n">
        <x:f>MAX(F145-G145,0)</x:f>
        <x:v>0.5</x:v>
      </x:c>
      <x:c r="J145" s="56" t="n">
        <x:v>1208.8260693958912</x:v>
      </x:c>
      <x:c r="K145" s="60" t="n">
        <x:f>H145*J145</x:f>
        <x:v>0</x:v>
      </x:c>
      <x:c r="L145" s="52" t="str">
        <x:f>IF(I145&gt;=MAX(2,E145*0.5),"Дефицит",IF(H145&gt;=MAX(3,E145*0.75),"Избыток","Норма"))</x:f>
        <x:v>Норма</x:v>
      </x:c>
    </x:row>
    <x:row r="146">
      <x:c r="A146" s="48" t="str">
        <x:v>UM-029</x:v>
      </x:c>
      <x:c r="B146" s="48" t="str">
        <x:v>Карго</x:v>
      </x:c>
      <x:c r="C146" s="48" t="str">
        <x:v>Брюки</x:v>
      </x:c>
      <x:c r="D146" s="48" t="str">
        <x:v>XL</x:v>
      </x:c>
      <x:c r="E146" s="56" t="n">
        <x:v>2</x:v>
      </x:c>
      <x:c r="F146" s="60" t="n">
        <x:f>E146*1.5</x:f>
        <x:v>3</x:v>
      </x:c>
      <x:c r="G146" s="56" t="n">
        <x:v>2</x:v>
      </x:c>
      <x:c r="H146" s="60" t="n">
        <x:f>MAX(G146-F146,0)</x:f>
        <x:v>0</x:v>
      </x:c>
      <x:c r="I146" s="60" t="n">
        <x:f>MAX(F146-G146,0)</x:f>
        <x:v>1</x:v>
      </x:c>
      <x:c r="J146" s="56" t="n">
        <x:v>1208.8260693958912</x:v>
      </x:c>
      <x:c r="K146" s="60" t="n">
        <x:f>H146*J146</x:f>
        <x:v>0</x:v>
      </x:c>
      <x:c r="L146" s="52" t="str">
        <x:f>IF(I146&gt;=MAX(2,E146*0.5),"Дефицит",IF(H146&gt;=MAX(3,E146*0.75),"Избыток","Норма"))</x:f>
        <x:v>Норма</x:v>
      </x:c>
    </x:row>
    <x:row r="147">
      <x:c r="A147" s="48" t="str">
        <x:v>UM-030</x:v>
      </x:c>
      <x:c r="B147" s="48" t="str">
        <x:v>Брюки со стрелками</x:v>
      </x:c>
      <x:c r="C147" s="48" t="str">
        <x:v>Брюки</x:v>
      </x:c>
      <x:c r="D147" s="48" t="str">
        <x:v>XS</x:v>
      </x:c>
      <x:c r="E147" s="56" t="n">
        <x:v>1</x:v>
      </x:c>
      <x:c r="F147" s="60" t="n">
        <x:f>E147*1.5</x:f>
        <x:v>1.5</x:v>
      </x:c>
      <x:c r="G147" s="56" t="n">
        <x:v>3</x:v>
      </x:c>
      <x:c r="H147" s="60" t="n">
        <x:f>MAX(G147-F147,0)</x:f>
        <x:v>1.5</x:v>
      </x:c>
      <x:c r="I147" s="60" t="n">
        <x:f>MAX(F147-G147,0)</x:f>
        <x:v>0</x:v>
      </x:c>
      <x:c r="J147" s="56" t="n">
        <x:v>743.8968089996566</x:v>
      </x:c>
      <x:c r="K147" s="60" t="n">
        <x:f>H147*J147</x:f>
        <x:v>1115.845213499485</x:v>
      </x:c>
      <x:c r="L147" s="52" t="str">
        <x:f>IF(I147&gt;=MAX(2,E147*0.5),"Дефицит",IF(H147&gt;=MAX(3,E147*0.75),"Избыток","Норма"))</x:f>
        <x:v>Норма</x:v>
      </x:c>
    </x:row>
    <x:row r="148">
      <x:c r="A148" s="48" t="str">
        <x:v>UM-030</x:v>
      </x:c>
      <x:c r="B148" s="48" t="str">
        <x:v>Брюки со стрелками</x:v>
      </x:c>
      <x:c r="C148" s="48" t="str">
        <x:v>Брюки</x:v>
      </x:c>
      <x:c r="D148" s="48" t="str">
        <x:v>S</x:v>
      </x:c>
      <x:c r="E148" s="56" t="n">
        <x:v>4</x:v>
      </x:c>
      <x:c r="F148" s="60" t="n">
        <x:f>E148*1.5</x:f>
        <x:v>6</x:v>
      </x:c>
      <x:c r="G148" s="56" t="n">
        <x:v>5</x:v>
      </x:c>
      <x:c r="H148" s="60" t="n">
        <x:f>MAX(G148-F148,0)</x:f>
        <x:v>0</x:v>
      </x:c>
      <x:c r="I148" s="60" t="n">
        <x:f>MAX(F148-G148,0)</x:f>
        <x:v>1</x:v>
      </x:c>
      <x:c r="J148" s="56" t="n">
        <x:v>743.8968089996566</x:v>
      </x:c>
      <x:c r="K148" s="60" t="n">
        <x:f>H148*J148</x:f>
        <x:v>0</x:v>
      </x:c>
      <x:c r="L148" s="52" t="str">
        <x:f>IF(I148&gt;=MAX(2,E148*0.5),"Дефицит",IF(H148&gt;=MAX(3,E148*0.75),"Избыток","Норма"))</x:f>
        <x:v>Норма</x:v>
      </x:c>
    </x:row>
    <x:row r="149">
      <x:c r="A149" s="48" t="str">
        <x:v>UM-030</x:v>
      </x:c>
      <x:c r="B149" s="48" t="str">
        <x:v>Брюки со стрелками</x:v>
      </x:c>
      <x:c r="C149" s="48" t="str">
        <x:v>Брюки</x:v>
      </x:c>
      <x:c r="D149" s="48" t="str">
        <x:v>M</x:v>
      </x:c>
      <x:c r="E149" s="56" t="n">
        <x:v>5</x:v>
      </x:c>
      <x:c r="F149" s="60" t="n">
        <x:f>E149*1.5</x:f>
        <x:v>7.5</x:v>
      </x:c>
      <x:c r="G149" s="56" t="n">
        <x:v>12</x:v>
      </x:c>
      <x:c r="H149" s="60" t="n">
        <x:f>MAX(G149-F149,0)</x:f>
        <x:v>4.5</x:v>
      </x:c>
      <x:c r="I149" s="60" t="n">
        <x:f>MAX(F149-G149,0)</x:f>
        <x:v>0</x:v>
      </x:c>
      <x:c r="J149" s="56" t="n">
        <x:v>743.8968089996566</x:v>
      </x:c>
      <x:c r="K149" s="60" t="n">
        <x:f>H149*J149</x:f>
        <x:v>3347.535640498455</x:v>
      </x:c>
      <x:c r="L149" s="52" t="str">
        <x:f>IF(I149&gt;=MAX(2,E149*0.5),"Дефицит",IF(H149&gt;=MAX(3,E149*0.75),"Избыток","Норма"))</x:f>
        <x:v>Избыток</x:v>
      </x:c>
    </x:row>
    <x:row r="150">
      <x:c r="A150" s="48" t="str">
        <x:v>UM-030</x:v>
      </x:c>
      <x:c r="B150" s="48" t="str">
        <x:v>Брюки со стрелками</x:v>
      </x:c>
      <x:c r="C150" s="48" t="str">
        <x:v>Брюки</x:v>
      </x:c>
      <x:c r="D150" s="48" t="str">
        <x:v>L</x:v>
      </x:c>
      <x:c r="E150" s="56" t="n">
        <x:v>3</x:v>
      </x:c>
      <x:c r="F150" s="60" t="n">
        <x:f>E150*1.5</x:f>
        <x:v>4.5</x:v>
      </x:c>
      <x:c r="G150" s="56" t="n">
        <x:v>3</x:v>
      </x:c>
      <x:c r="H150" s="60" t="n">
        <x:f>MAX(G150-F150,0)</x:f>
        <x:v>0</x:v>
      </x:c>
      <x:c r="I150" s="60" t="n">
        <x:f>MAX(F150-G150,0)</x:f>
        <x:v>1.5</x:v>
      </x:c>
      <x:c r="J150" s="56" t="n">
        <x:v>743.8968089996566</x:v>
      </x:c>
      <x:c r="K150" s="60" t="n">
        <x:f>H150*J150</x:f>
        <x:v>0</x:v>
      </x:c>
      <x:c r="L150" s="52" t="str">
        <x:f>IF(I150&gt;=MAX(2,E150*0.5),"Дефицит",IF(H150&gt;=MAX(3,E150*0.75),"Избыток","Норма"))</x:f>
        <x:v>Норма</x:v>
      </x:c>
    </x:row>
    <x:row r="151">
      <x:c r="A151" s="48" t="str">
        <x:v>UM-030</x:v>
      </x:c>
      <x:c r="B151" s="48" t="str">
        <x:v>Брюки со стрелками</x:v>
      </x:c>
      <x:c r="C151" s="48" t="str">
        <x:v>Брюки</x:v>
      </x:c>
      <x:c r="D151" s="48" t="str">
        <x:v>XL</x:v>
      </x:c>
      <x:c r="E151" s="56" t="n">
        <x:v>2</x:v>
      </x:c>
      <x:c r="F151" s="60" t="n">
        <x:f>E151*1.5</x:f>
        <x:v>3</x:v>
      </x:c>
      <x:c r="G151" s="56" t="n">
        <x:v>5</x:v>
      </x:c>
      <x:c r="H151" s="60" t="n">
        <x:f>MAX(G151-F151,0)</x:f>
        <x:v>2</x:v>
      </x:c>
      <x:c r="I151" s="60" t="n">
        <x:f>MAX(F151-G151,0)</x:f>
        <x:v>0</x:v>
      </x:c>
      <x:c r="J151" s="56" t="n">
        <x:v>743.8968089996566</x:v>
      </x:c>
      <x:c r="K151" s="60" t="n">
        <x:f>H151*J151</x:f>
        <x:v>1487.7936179993133</x:v>
      </x:c>
      <x:c r="L151" s="52" t="str">
        <x:f>IF(I151&gt;=MAX(2,E151*0.5),"Дефицит",IF(H151&gt;=MAX(3,E151*0.75),"Избыток","Норма"))</x:f>
        <x:v>Норма</x:v>
      </x:c>
    </x:row>
    <x:row r="152">
      <x:c r="A152" s="48" t="str">
        <x:v>UM-031</x:v>
      </x:c>
      <x:c r="B152" s="48" t="str">
        <x:v>Джоггеры</x:v>
      </x:c>
      <x:c r="C152" s="48" t="str">
        <x:v>Брюки</x:v>
      </x:c>
      <x:c r="D152" s="48" t="str">
        <x:v>XS</x:v>
      </x:c>
      <x:c r="E152" s="56" t="n">
        <x:v>3</x:v>
      </x:c>
      <x:c r="F152" s="60" t="n">
        <x:f>E152*1.5</x:f>
        <x:v>4.5</x:v>
      </x:c>
      <x:c r="G152" s="56" t="n">
        <x:v>3</x:v>
      </x:c>
      <x:c r="H152" s="60" t="n">
        <x:f>MAX(G152-F152,0)</x:f>
        <x:v>0</x:v>
      </x:c>
      <x:c r="I152" s="60" t="n">
        <x:f>MAX(F152-G152,0)</x:f>
        <x:v>1.5</x:v>
      </x:c>
      <x:c r="J152" s="56" t="n">
        <x:v>1117.0976971569862</x:v>
      </x:c>
      <x:c r="K152" s="60" t="n">
        <x:f>H152*J152</x:f>
        <x:v>0</x:v>
      </x:c>
      <x:c r="L152" s="52" t="str">
        <x:f>IF(I152&gt;=MAX(2,E152*0.5),"Дефицит",IF(H152&gt;=MAX(3,E152*0.75),"Избыток","Норма"))</x:f>
        <x:v>Норма</x:v>
      </x:c>
    </x:row>
    <x:row r="153">
      <x:c r="A153" s="48" t="str">
        <x:v>UM-031</x:v>
      </x:c>
      <x:c r="B153" s="48" t="str">
        <x:v>Джоггеры</x:v>
      </x:c>
      <x:c r="C153" s="48" t="str">
        <x:v>Брюки</x:v>
      </x:c>
      <x:c r="D153" s="48" t="str">
        <x:v>S</x:v>
      </x:c>
      <x:c r="E153" s="56" t="n">
        <x:v>7</x:v>
      </x:c>
      <x:c r="F153" s="60" t="n">
        <x:f>E153*1.5</x:f>
        <x:v>10.5</x:v>
      </x:c>
      <x:c r="G153" s="56" t="n">
        <x:v>13</x:v>
      </x:c>
      <x:c r="H153" s="60" t="n">
        <x:f>MAX(G153-F153,0)</x:f>
        <x:v>2.5</x:v>
      </x:c>
      <x:c r="I153" s="60" t="n">
        <x:f>MAX(F153-G153,0)</x:f>
        <x:v>0</x:v>
      </x:c>
      <x:c r="J153" s="56" t="n">
        <x:v>1117.0976971569862</x:v>
      </x:c>
      <x:c r="K153" s="60" t="n">
        <x:f>H153*J153</x:f>
        <x:v>2792.7442428924655</x:v>
      </x:c>
      <x:c r="L153" s="52" t="str">
        <x:f>IF(I153&gt;=MAX(2,E153*0.5),"Дефицит",IF(H153&gt;=MAX(3,E153*0.75),"Избыток","Норма"))</x:f>
        <x:v>Норма</x:v>
      </x:c>
    </x:row>
    <x:row r="154">
      <x:c r="A154" s="48" t="str">
        <x:v>UM-031</x:v>
      </x:c>
      <x:c r="B154" s="48" t="str">
        <x:v>Джоггеры</x:v>
      </x:c>
      <x:c r="C154" s="48" t="str">
        <x:v>Брюки</x:v>
      </x:c>
      <x:c r="D154" s="48" t="str">
        <x:v>M</x:v>
      </x:c>
      <x:c r="E154" s="56" t="n">
        <x:v>9</x:v>
      </x:c>
      <x:c r="F154" s="60" t="n">
        <x:f>E154*1.5</x:f>
        <x:v>13.5</x:v>
      </x:c>
      <x:c r="G154" s="56" t="n">
        <x:v>15</x:v>
      </x:c>
      <x:c r="H154" s="60" t="n">
        <x:f>MAX(G154-F154,0)</x:f>
        <x:v>1.5</x:v>
      </x:c>
      <x:c r="I154" s="60" t="n">
        <x:f>MAX(F154-G154,0)</x:f>
        <x:v>0</x:v>
      </x:c>
      <x:c r="J154" s="56" t="n">
        <x:v>1117.0976971569862</x:v>
      </x:c>
      <x:c r="K154" s="60" t="n">
        <x:f>H154*J154</x:f>
        <x:v>1675.6465457354793</x:v>
      </x:c>
      <x:c r="L154" s="52" t="str">
        <x:f>IF(I154&gt;=MAX(2,E154*0.5),"Дефицит",IF(H154&gt;=MAX(3,E154*0.75),"Избыток","Норма"))</x:f>
        <x:v>Норма</x:v>
      </x:c>
    </x:row>
    <x:row r="155">
      <x:c r="A155" s="48" t="str">
        <x:v>UM-031</x:v>
      </x:c>
      <x:c r="B155" s="48" t="str">
        <x:v>Джоггеры</x:v>
      </x:c>
      <x:c r="C155" s="48" t="str">
        <x:v>Брюки</x:v>
      </x:c>
      <x:c r="D155" s="48" t="str">
        <x:v>L</x:v>
      </x:c>
      <x:c r="E155" s="56" t="n">
        <x:v>6</x:v>
      </x:c>
      <x:c r="F155" s="60" t="n">
        <x:f>E155*1.5</x:f>
        <x:v>9</x:v>
      </x:c>
      <x:c r="G155" s="56" t="n">
        <x:v>15</x:v>
      </x:c>
      <x:c r="H155" s="60" t="n">
        <x:f>MAX(G155-F155,0)</x:f>
        <x:v>6</x:v>
      </x:c>
      <x:c r="I155" s="60" t="n">
        <x:f>MAX(F155-G155,0)</x:f>
        <x:v>0</x:v>
      </x:c>
      <x:c r="J155" s="56" t="n">
        <x:v>1117.0976971569862</x:v>
      </x:c>
      <x:c r="K155" s="60" t="n">
        <x:f>H155*J155</x:f>
        <x:v>6702.586182941917</x:v>
      </x:c>
      <x:c r="L155" s="52" t="str">
        <x:f>IF(I155&gt;=MAX(2,E155*0.5),"Дефицит",IF(H155&gt;=MAX(3,E155*0.75),"Избыток","Норма"))</x:f>
        <x:v>Избыток</x:v>
      </x:c>
    </x:row>
    <x:row r="156">
      <x:c r="A156" s="48" t="str">
        <x:v>UM-031</x:v>
      </x:c>
      <x:c r="B156" s="48" t="str">
        <x:v>Джоггеры</x:v>
      </x:c>
      <x:c r="C156" s="48" t="str">
        <x:v>Брюки</x:v>
      </x:c>
      <x:c r="D156" s="48" t="str">
        <x:v>XL</x:v>
      </x:c>
      <x:c r="E156" s="56" t="n">
        <x:v>5</x:v>
      </x:c>
      <x:c r="F156" s="60" t="n">
        <x:f>E156*1.5</x:f>
        <x:v>7.5</x:v>
      </x:c>
      <x:c r="G156" s="56" t="n">
        <x:v>2</x:v>
      </x:c>
      <x:c r="H156" s="60" t="n">
        <x:f>MAX(G156-F156,0)</x:f>
        <x:v>0</x:v>
      </x:c>
      <x:c r="I156" s="60" t="n">
        <x:f>MAX(F156-G156,0)</x:f>
        <x:v>5.5</x:v>
      </x:c>
      <x:c r="J156" s="56" t="n">
        <x:v>1117.0976971569862</x:v>
      </x:c>
      <x:c r="K156" s="60" t="n">
        <x:f>H156*J156</x:f>
        <x:v>0</x:v>
      </x:c>
      <x:c r="L156" s="52" t="str">
        <x:f>IF(I156&gt;=MAX(2,E156*0.5),"Дефицит",IF(H156&gt;=MAX(3,E156*0.75),"Избыток","Норма"))</x:f>
        <x:v>Дефицит</x:v>
      </x:c>
    </x:row>
    <x:row r="157">
      <x:c r="A157" s="48" t="str">
        <x:v>UM-032</x:v>
      </x:c>
      <x:c r="B157" s="48" t="str">
        <x:v>Зауженные офисные</x:v>
      </x:c>
      <x:c r="C157" s="48" t="str">
        <x:v>Брюки</x:v>
      </x:c>
      <x:c r="D157" s="48" t="str">
        <x:v>XS</x:v>
      </x:c>
      <x:c r="E157" s="56" t="n">
        <x:v>1</x:v>
      </x:c>
      <x:c r="F157" s="60" t="n">
        <x:f>E157*1.5</x:f>
        <x:v>1.5</x:v>
      </x:c>
      <x:c r="G157" s="56" t="n">
        <x:v>1</x:v>
      </x:c>
      <x:c r="H157" s="60" t="n">
        <x:f>MAX(G157-F157,0)</x:f>
        <x:v>0</x:v>
      </x:c>
      <x:c r="I157" s="60" t="n">
        <x:f>MAX(F157-G157,0)</x:f>
        <x:v>0.5</x:v>
      </x:c>
      <x:c r="J157" s="56" t="n">
        <x:v>794.2734581474822</x:v>
      </x:c>
      <x:c r="K157" s="60" t="n">
        <x:f>H157*J157</x:f>
        <x:v>0</x:v>
      </x:c>
      <x:c r="L157" s="52" t="str">
        <x:f>IF(I157&gt;=MAX(2,E157*0.5),"Дефицит",IF(H157&gt;=MAX(3,E157*0.75),"Избыток","Норма"))</x:f>
        <x:v>Норма</x:v>
      </x:c>
    </x:row>
    <x:row r="158">
      <x:c r="A158" s="48" t="str">
        <x:v>UM-032</x:v>
      </x:c>
      <x:c r="B158" s="48" t="str">
        <x:v>Зауженные офисные</x:v>
      </x:c>
      <x:c r="C158" s="48" t="str">
        <x:v>Брюки</x:v>
      </x:c>
      <x:c r="D158" s="48" t="str">
        <x:v>S</x:v>
      </x:c>
      <x:c r="E158" s="56" t="n">
        <x:v>4</x:v>
      </x:c>
      <x:c r="F158" s="60" t="n">
        <x:f>E158*1.5</x:f>
        <x:v>6</x:v>
      </x:c>
      <x:c r="G158" s="56" t="n">
        <x:v>6</x:v>
      </x:c>
      <x:c r="H158" s="60" t="n">
        <x:f>MAX(G158-F158,0)</x:f>
        <x:v>0</x:v>
      </x:c>
      <x:c r="I158" s="60" t="n">
        <x:f>MAX(F158-G158,0)</x:f>
        <x:v>0</x:v>
      </x:c>
      <x:c r="J158" s="56" t="n">
        <x:v>794.2734581474822</x:v>
      </x:c>
      <x:c r="K158" s="60" t="n">
        <x:f>H158*J158</x:f>
        <x:v>0</x:v>
      </x:c>
      <x:c r="L158" s="52" t="str">
        <x:f>IF(I158&gt;=MAX(2,E158*0.5),"Дефицит",IF(H158&gt;=MAX(3,E158*0.75),"Избыток","Норма"))</x:f>
        <x:v>Норма</x:v>
      </x:c>
    </x:row>
    <x:row r="159">
      <x:c r="A159" s="48" t="str">
        <x:v>UM-032</x:v>
      </x:c>
      <x:c r="B159" s="48" t="str">
        <x:v>Зауженные офисные</x:v>
      </x:c>
      <x:c r="C159" s="48" t="str">
        <x:v>Брюки</x:v>
      </x:c>
      <x:c r="D159" s="48" t="str">
        <x:v>M</x:v>
      </x:c>
      <x:c r="E159" s="56" t="n">
        <x:v>5</x:v>
      </x:c>
      <x:c r="F159" s="60" t="n">
        <x:f>E159*1.5</x:f>
        <x:v>7.5</x:v>
      </x:c>
      <x:c r="G159" s="56" t="n">
        <x:v>5</x:v>
      </x:c>
      <x:c r="H159" s="60" t="n">
        <x:f>MAX(G159-F159,0)</x:f>
        <x:v>0</x:v>
      </x:c>
      <x:c r="I159" s="60" t="n">
        <x:f>MAX(F159-G159,0)</x:f>
        <x:v>2.5</x:v>
      </x:c>
      <x:c r="J159" s="56" t="n">
        <x:v>794.2734581474822</x:v>
      </x:c>
      <x:c r="K159" s="60" t="n">
        <x:f>H159*J159</x:f>
        <x:v>0</x:v>
      </x:c>
      <x:c r="L159" s="52" t="str">
        <x:f>IF(I159&gt;=MAX(2,E159*0.5),"Дефицит",IF(H159&gt;=MAX(3,E159*0.75),"Избыток","Норма"))</x:f>
        <x:v>Дефицит</x:v>
      </x:c>
    </x:row>
    <x:row r="160">
      <x:c r="A160" s="48" t="str">
        <x:v>UM-032</x:v>
      </x:c>
      <x:c r="B160" s="48" t="str">
        <x:v>Зауженные офисные</x:v>
      </x:c>
      <x:c r="C160" s="48" t="str">
        <x:v>Брюки</x:v>
      </x:c>
      <x:c r="D160" s="48" t="str">
        <x:v>L</x:v>
      </x:c>
      <x:c r="E160" s="56" t="n">
        <x:v>4</x:v>
      </x:c>
      <x:c r="F160" s="60" t="n">
        <x:f>E160*1.5</x:f>
        <x:v>6</x:v>
      </x:c>
      <x:c r="G160" s="56" t="n">
        <x:v>5</x:v>
      </x:c>
      <x:c r="H160" s="60" t="n">
        <x:f>MAX(G160-F160,0)</x:f>
        <x:v>0</x:v>
      </x:c>
      <x:c r="I160" s="60" t="n">
        <x:f>MAX(F160-G160,0)</x:f>
        <x:v>1</x:v>
      </x:c>
      <x:c r="J160" s="56" t="n">
        <x:v>794.2734581474822</x:v>
      </x:c>
      <x:c r="K160" s="60" t="n">
        <x:f>H160*J160</x:f>
        <x:v>0</x:v>
      </x:c>
      <x:c r="L160" s="52" t="str">
        <x:f>IF(I160&gt;=MAX(2,E160*0.5),"Дефицит",IF(H160&gt;=MAX(3,E160*0.75),"Избыток","Норма"))</x:f>
        <x:v>Норма</x:v>
      </x:c>
    </x:row>
    <x:row r="161">
      <x:c r="A161" s="48" t="str">
        <x:v>UM-032</x:v>
      </x:c>
      <x:c r="B161" s="48" t="str">
        <x:v>Зауженные офисные</x:v>
      </x:c>
      <x:c r="C161" s="48" t="str">
        <x:v>Брюки</x:v>
      </x:c>
      <x:c r="D161" s="48" t="str">
        <x:v>XL</x:v>
      </x:c>
      <x:c r="E161" s="56" t="n">
        <x:v>3</x:v>
      </x:c>
      <x:c r="F161" s="60" t="n">
        <x:f>E161*1.5</x:f>
        <x:v>4.5</x:v>
      </x:c>
      <x:c r="G161" s="56" t="n">
        <x:v>6</x:v>
      </x:c>
      <x:c r="H161" s="60" t="n">
        <x:f>MAX(G161-F161,0)</x:f>
        <x:v>1.5</x:v>
      </x:c>
      <x:c r="I161" s="60" t="n">
        <x:f>MAX(F161-G161,0)</x:f>
        <x:v>0</x:v>
      </x:c>
      <x:c r="J161" s="56" t="n">
        <x:v>794.2734581474822</x:v>
      </x:c>
      <x:c r="K161" s="60" t="n">
        <x:f>H161*J161</x:f>
        <x:v>1191.4101872212232</x:v>
      </x:c>
      <x:c r="L161" s="52" t="str">
        <x:f>IF(I161&gt;=MAX(2,E161*0.5),"Дефицит",IF(H161&gt;=MAX(3,E161*0.75),"Избыток","Норма"))</x:f>
        <x:v>Норма</x:v>
      </x:c>
    </x:row>
    <x:row r="162">
      <x:c r="A162" s="48" t="str">
        <x:v>UM-033</x:v>
      </x:c>
      <x:c r="B162" s="48" t="str">
        <x:v>Широкие костюмные</x:v>
      </x:c>
      <x:c r="C162" s="48" t="str">
        <x:v>Брюки</x:v>
      </x:c>
      <x:c r="D162" s="48" t="str">
        <x:v>XS</x:v>
      </x:c>
      <x:c r="E162" s="56" t="n">
        <x:v>3</x:v>
      </x:c>
      <x:c r="F162" s="60" t="n">
        <x:f>E162*1.5</x:f>
        <x:v>4.5</x:v>
      </x:c>
      <x:c r="G162" s="56" t="n">
        <x:v>5</x:v>
      </x:c>
      <x:c r="H162" s="60" t="n">
        <x:f>MAX(G162-F162,0)</x:f>
        <x:v>0.5</x:v>
      </x:c>
      <x:c r="I162" s="60" t="n">
        <x:f>MAX(F162-G162,0)</x:f>
        <x:v>0</x:v>
      </x:c>
      <x:c r="J162" s="56" t="n">
        <x:v>791.6511030024172</x:v>
      </x:c>
      <x:c r="K162" s="60" t="n">
        <x:f>H162*J162</x:f>
        <x:v>395.8255515012086</x:v>
      </x:c>
      <x:c r="L162" s="52" t="str">
        <x:f>IF(I162&gt;=MAX(2,E162*0.5),"Дефицит",IF(H162&gt;=MAX(3,E162*0.75),"Избыток","Норма"))</x:f>
        <x:v>Норма</x:v>
      </x:c>
    </x:row>
    <x:row r="163">
      <x:c r="A163" s="48" t="str">
        <x:v>UM-033</x:v>
      </x:c>
      <x:c r="B163" s="48" t="str">
        <x:v>Широкие костюмные</x:v>
      </x:c>
      <x:c r="C163" s="48" t="str">
        <x:v>Брюки</x:v>
      </x:c>
      <x:c r="D163" s="48" t="str">
        <x:v>S</x:v>
      </x:c>
      <x:c r="E163" s="56" t="n">
        <x:v>5</x:v>
      </x:c>
      <x:c r="F163" s="60" t="n">
        <x:f>E163*1.5</x:f>
        <x:v>7.5</x:v>
      </x:c>
      <x:c r="G163" s="56" t="n">
        <x:v>14</x:v>
      </x:c>
      <x:c r="H163" s="60" t="n">
        <x:f>MAX(G163-F163,0)</x:f>
        <x:v>6.5</x:v>
      </x:c>
      <x:c r="I163" s="60" t="n">
        <x:f>MAX(F163-G163,0)</x:f>
        <x:v>0</x:v>
      </x:c>
      <x:c r="J163" s="56" t="n">
        <x:v>791.6511030024172</x:v>
      </x:c>
      <x:c r="K163" s="60" t="n">
        <x:f>H163*J163</x:f>
        <x:v>5145.7321695157125</x:v>
      </x:c>
      <x:c r="L163" s="52" t="str">
        <x:f>IF(I163&gt;=MAX(2,E163*0.5),"Дефицит",IF(H163&gt;=MAX(3,E163*0.75),"Избыток","Норма"))</x:f>
        <x:v>Избыток</x:v>
      </x:c>
    </x:row>
    <x:row r="164">
      <x:c r="A164" s="48" t="str">
        <x:v>UM-033</x:v>
      </x:c>
      <x:c r="B164" s="48" t="str">
        <x:v>Широкие костюмные</x:v>
      </x:c>
      <x:c r="C164" s="48" t="str">
        <x:v>Брюки</x:v>
      </x:c>
      <x:c r="D164" s="48" t="str">
        <x:v>M</x:v>
      </x:c>
      <x:c r="E164" s="56" t="n">
        <x:v>7</x:v>
      </x:c>
      <x:c r="F164" s="60" t="n">
        <x:f>E164*1.5</x:f>
        <x:v>10.5</x:v>
      </x:c>
      <x:c r="G164" s="56" t="n">
        <x:v>13</x:v>
      </x:c>
      <x:c r="H164" s="60" t="n">
        <x:f>MAX(G164-F164,0)</x:f>
        <x:v>2.5</x:v>
      </x:c>
      <x:c r="I164" s="60" t="n">
        <x:f>MAX(F164-G164,0)</x:f>
        <x:v>0</x:v>
      </x:c>
      <x:c r="J164" s="56" t="n">
        <x:v>791.6511030024172</x:v>
      </x:c>
      <x:c r="K164" s="60" t="n">
        <x:f>H164*J164</x:f>
        <x:v>1979.127757506043</x:v>
      </x:c>
      <x:c r="L164" s="52" t="str">
        <x:f>IF(I164&gt;=MAX(2,E164*0.5),"Дефицит",IF(H164&gt;=MAX(3,E164*0.75),"Избыток","Норма"))</x:f>
        <x:v>Норма</x:v>
      </x:c>
    </x:row>
    <x:row r="165">
      <x:c r="A165" s="48" t="str">
        <x:v>UM-033</x:v>
      </x:c>
      <x:c r="B165" s="48" t="str">
        <x:v>Широкие костюмные</x:v>
      </x:c>
      <x:c r="C165" s="48" t="str">
        <x:v>Брюки</x:v>
      </x:c>
      <x:c r="D165" s="48" t="str">
        <x:v>L</x:v>
      </x:c>
      <x:c r="E165" s="56" t="n">
        <x:v>6</x:v>
      </x:c>
      <x:c r="F165" s="60" t="n">
        <x:f>E165*1.5</x:f>
        <x:v>9</x:v>
      </x:c>
      <x:c r="G165" s="56" t="n">
        <x:v>8</x:v>
      </x:c>
      <x:c r="H165" s="60" t="n">
        <x:f>MAX(G165-F165,0)</x:f>
        <x:v>0</x:v>
      </x:c>
      <x:c r="I165" s="60" t="n">
        <x:f>MAX(F165-G165,0)</x:f>
        <x:v>1</x:v>
      </x:c>
      <x:c r="J165" s="56" t="n">
        <x:v>791.6511030024172</x:v>
      </x:c>
      <x:c r="K165" s="60" t="n">
        <x:f>H165*J165</x:f>
        <x:v>0</x:v>
      </x:c>
      <x:c r="L165" s="52" t="str">
        <x:f>IF(I165&gt;=MAX(2,E165*0.5),"Дефицит",IF(H165&gt;=MAX(3,E165*0.75),"Избыток","Норма"))</x:f>
        <x:v>Норма</x:v>
      </x:c>
    </x:row>
    <x:row r="166">
      <x:c r="A166" s="48" t="str">
        <x:v>UM-033</x:v>
      </x:c>
      <x:c r="B166" s="48" t="str">
        <x:v>Широкие костюмные</x:v>
      </x:c>
      <x:c r="C166" s="48" t="str">
        <x:v>Брюки</x:v>
      </x:c>
      <x:c r="D166" s="48" t="str">
        <x:v>XL</x:v>
      </x:c>
      <x:c r="E166" s="56" t="n">
        <x:v>2</x:v>
      </x:c>
      <x:c r="F166" s="60" t="n">
        <x:f>E166*1.5</x:f>
        <x:v>3</x:v>
      </x:c>
      <x:c r="G166" s="56" t="n">
        <x:v>1</x:v>
      </x:c>
      <x:c r="H166" s="60" t="n">
        <x:f>MAX(G166-F166,0)</x:f>
        <x:v>0</x:v>
      </x:c>
      <x:c r="I166" s="60" t="n">
        <x:f>MAX(F166-G166,0)</x:f>
        <x:v>2</x:v>
      </x:c>
      <x:c r="J166" s="56" t="n">
        <x:v>791.6511030024172</x:v>
      </x:c>
      <x:c r="K166" s="60" t="n">
        <x:f>H166*J166</x:f>
        <x:v>0</x:v>
      </x:c>
      <x:c r="L166" s="52" t="str">
        <x:f>IF(I166&gt;=MAX(2,E166*0.5),"Дефицит",IF(H166&gt;=MAX(3,E166*0.75),"Избыток","Норма"))</x:f>
        <x:v>Дефицит</x:v>
      </x:c>
    </x:row>
    <x:row r="167">
      <x:c r="A167" s="48" t="str">
        <x:v>UM-034</x:v>
      </x:c>
      <x:c r="B167" s="48" t="str">
        <x:v>Брюки из экокожи</x:v>
      </x:c>
      <x:c r="C167" s="48" t="str">
        <x:v>Брюки</x:v>
      </x:c>
      <x:c r="D167" s="48" t="str">
        <x:v>XS</x:v>
      </x:c>
      <x:c r="E167" s="56" t="n">
        <x:v>3</x:v>
      </x:c>
      <x:c r="F167" s="60" t="n">
        <x:f>E167*1.5</x:f>
        <x:v>4.5</x:v>
      </x:c>
      <x:c r="G167" s="56" t="n">
        <x:v>3</x:v>
      </x:c>
      <x:c r="H167" s="60" t="n">
        <x:f>MAX(G167-F167,0)</x:f>
        <x:v>0</x:v>
      </x:c>
      <x:c r="I167" s="60" t="n">
        <x:f>MAX(F167-G167,0)</x:f>
        <x:v>1.5</x:v>
      </x:c>
      <x:c r="J167" s="56" t="n">
        <x:v>1092.8803404419991</x:v>
      </x:c>
      <x:c r="K167" s="60" t="n">
        <x:f>H167*J167</x:f>
        <x:v>0</x:v>
      </x:c>
      <x:c r="L167" s="52" t="str">
        <x:f>IF(I167&gt;=MAX(2,E167*0.5),"Дефицит",IF(H167&gt;=MAX(3,E167*0.75),"Избыток","Норма"))</x:f>
        <x:v>Норма</x:v>
      </x:c>
    </x:row>
    <x:row r="168">
      <x:c r="A168" s="48" t="str">
        <x:v>UM-034</x:v>
      </x:c>
      <x:c r="B168" s="48" t="str">
        <x:v>Брюки из экокожи</x:v>
      </x:c>
      <x:c r="C168" s="48" t="str">
        <x:v>Брюки</x:v>
      </x:c>
      <x:c r="D168" s="48" t="str">
        <x:v>S</x:v>
      </x:c>
      <x:c r="E168" s="56" t="n">
        <x:v>7</x:v>
      </x:c>
      <x:c r="F168" s="60" t="n">
        <x:f>E168*1.5</x:f>
        <x:v>10.5</x:v>
      </x:c>
      <x:c r="G168" s="56" t="n">
        <x:v>11</x:v>
      </x:c>
      <x:c r="H168" s="60" t="n">
        <x:f>MAX(G168-F168,0)</x:f>
        <x:v>0.5</x:v>
      </x:c>
      <x:c r="I168" s="60" t="n">
        <x:f>MAX(F168-G168,0)</x:f>
        <x:v>0</x:v>
      </x:c>
      <x:c r="J168" s="56" t="n">
        <x:v>1092.8803404419991</x:v>
      </x:c>
      <x:c r="K168" s="60" t="n">
        <x:f>H168*J168</x:f>
        <x:v>546.4401702209996</x:v>
      </x:c>
      <x:c r="L168" s="52" t="str">
        <x:f>IF(I168&gt;=MAX(2,E168*0.5),"Дефицит",IF(H168&gt;=MAX(3,E168*0.75),"Избыток","Норма"))</x:f>
        <x:v>Норма</x:v>
      </x:c>
    </x:row>
    <x:row r="169">
      <x:c r="A169" s="48" t="str">
        <x:v>UM-034</x:v>
      </x:c>
      <x:c r="B169" s="48" t="str">
        <x:v>Брюки из экокожи</x:v>
      </x:c>
      <x:c r="C169" s="48" t="str">
        <x:v>Брюки</x:v>
      </x:c>
      <x:c r="D169" s="48" t="str">
        <x:v>M</x:v>
      </x:c>
      <x:c r="E169" s="56" t="n">
        <x:v>9</x:v>
      </x:c>
      <x:c r="F169" s="60" t="n">
        <x:f>E169*1.5</x:f>
        <x:v>13.5</x:v>
      </x:c>
      <x:c r="G169" s="56" t="n">
        <x:v>12</x:v>
      </x:c>
      <x:c r="H169" s="60" t="n">
        <x:f>MAX(G169-F169,0)</x:f>
        <x:v>0</x:v>
      </x:c>
      <x:c r="I169" s="60" t="n">
        <x:f>MAX(F169-G169,0)</x:f>
        <x:v>1.5</x:v>
      </x:c>
      <x:c r="J169" s="56" t="n">
        <x:v>1092.8803404419991</x:v>
      </x:c>
      <x:c r="K169" s="60" t="n">
        <x:f>H169*J169</x:f>
        <x:v>0</x:v>
      </x:c>
      <x:c r="L169" s="52" t="str">
        <x:f>IF(I169&gt;=MAX(2,E169*0.5),"Дефицит",IF(H169&gt;=MAX(3,E169*0.75),"Избыток","Норма"))</x:f>
        <x:v>Норма</x:v>
      </x:c>
    </x:row>
    <x:row r="170">
      <x:c r="A170" s="48" t="str">
        <x:v>UM-034</x:v>
      </x:c>
      <x:c r="B170" s="48" t="str">
        <x:v>Брюки из экокожи</x:v>
      </x:c>
      <x:c r="C170" s="48" t="str">
        <x:v>Брюки</x:v>
      </x:c>
      <x:c r="D170" s="48" t="str">
        <x:v>L</x:v>
      </x:c>
      <x:c r="E170" s="56" t="n">
        <x:v>7</x:v>
      </x:c>
      <x:c r="F170" s="60" t="n">
        <x:f>E170*1.5</x:f>
        <x:v>10.5</x:v>
      </x:c>
      <x:c r="G170" s="56" t="n">
        <x:v>10</x:v>
      </x:c>
      <x:c r="H170" s="60" t="n">
        <x:f>MAX(G170-F170,0)</x:f>
        <x:v>0</x:v>
      </x:c>
      <x:c r="I170" s="60" t="n">
        <x:f>MAX(F170-G170,0)</x:f>
        <x:v>0.5</x:v>
      </x:c>
      <x:c r="J170" s="56" t="n">
        <x:v>1092.8803404419991</x:v>
      </x:c>
      <x:c r="K170" s="60" t="n">
        <x:f>H170*J170</x:f>
        <x:v>0</x:v>
      </x:c>
      <x:c r="L170" s="52" t="str">
        <x:f>IF(I170&gt;=MAX(2,E170*0.5),"Дефицит",IF(H170&gt;=MAX(3,E170*0.75),"Избыток","Норма"))</x:f>
        <x:v>Норма</x:v>
      </x:c>
    </x:row>
    <x:row r="171">
      <x:c r="A171" s="48" t="str">
        <x:v>UM-034</x:v>
      </x:c>
      <x:c r="B171" s="48" t="str">
        <x:v>Брюки из экокожи</x:v>
      </x:c>
      <x:c r="C171" s="48" t="str">
        <x:v>Брюки</x:v>
      </x:c>
      <x:c r="D171" s="48" t="str">
        <x:v>XL</x:v>
      </x:c>
      <x:c r="E171" s="56" t="n">
        <x:v>4</x:v>
      </x:c>
      <x:c r="F171" s="60" t="n">
        <x:f>E171*1.5</x:f>
        <x:v>6</x:v>
      </x:c>
      <x:c r="G171" s="56" t="n">
        <x:v>5</x:v>
      </x:c>
      <x:c r="H171" s="60" t="n">
        <x:f>MAX(G171-F171,0)</x:f>
        <x:v>0</x:v>
      </x:c>
      <x:c r="I171" s="60" t="n">
        <x:f>MAX(F171-G171,0)</x:f>
        <x:v>1</x:v>
      </x:c>
      <x:c r="J171" s="56" t="n">
        <x:v>1092.8803404419991</x:v>
      </x:c>
      <x:c r="K171" s="60" t="n">
        <x:f>H171*J171</x:f>
        <x:v>0</x:v>
      </x:c>
      <x:c r="L171" s="52" t="str">
        <x:f>IF(I171&gt;=MAX(2,E171*0.5),"Дефицит",IF(H171&gt;=MAX(3,E171*0.75),"Избыток","Норма"))</x:f>
        <x:v>Норма</x:v>
      </x:c>
    </x:row>
    <x:row r="172">
      <x:c r="A172" s="48" t="str">
        <x:v>UM-035</x:v>
      </x:c>
      <x:c r="B172" s="48" t="str">
        <x:v>Водолазка</x:v>
      </x:c>
      <x:c r="C172" s="48" t="str">
        <x:v>Трикотаж</x:v>
      </x:c>
      <x:c r="D172" s="48" t="str">
        <x:v>XS</x:v>
      </x:c>
      <x:c r="E172" s="56" t="n">
        <x:v>3</x:v>
      </x:c>
      <x:c r="F172" s="60" t="n">
        <x:f>E172*1.5</x:f>
        <x:v>4.5</x:v>
      </x:c>
      <x:c r="G172" s="56" t="n">
        <x:v>19</x:v>
      </x:c>
      <x:c r="H172" s="60" t="n">
        <x:f>MAX(G172-F172,0)</x:f>
        <x:v>14.5</x:v>
      </x:c>
      <x:c r="I172" s="60" t="n">
        <x:f>MAX(F172-G172,0)</x:f>
        <x:v>0</x:v>
      </x:c>
      <x:c r="J172" s="56" t="n">
        <x:v>739.0628675718567</x:v>
      </x:c>
      <x:c r="K172" s="60" t="n">
        <x:f>H172*J172</x:f>
        <x:v>10716.411579791922</x:v>
      </x:c>
      <x:c r="L172" s="52" t="str">
        <x:f>IF(I172&gt;=MAX(2,E172*0.5),"Дефицит",IF(H172&gt;=MAX(3,E172*0.75),"Избыток","Норма"))</x:f>
        <x:v>Избыток</x:v>
      </x:c>
    </x:row>
    <x:row r="173">
      <x:c r="A173" s="48" t="str">
        <x:v>UM-035</x:v>
      </x:c>
      <x:c r="B173" s="48" t="str">
        <x:v>Водолазка</x:v>
      </x:c>
      <x:c r="C173" s="48" t="str">
        <x:v>Трикотаж</x:v>
      </x:c>
      <x:c r="D173" s="48" t="str">
        <x:v>S</x:v>
      </x:c>
      <x:c r="E173" s="56" t="n">
        <x:v>7</x:v>
      </x:c>
      <x:c r="F173" s="60" t="n">
        <x:f>E173*1.5</x:f>
        <x:v>10.5</x:v>
      </x:c>
      <x:c r="G173" s="56" t="n">
        <x:v>25</x:v>
      </x:c>
      <x:c r="H173" s="60" t="n">
        <x:f>MAX(G173-F173,0)</x:f>
        <x:v>14.5</x:v>
      </x:c>
      <x:c r="I173" s="60" t="n">
        <x:f>MAX(F173-G173,0)</x:f>
        <x:v>0</x:v>
      </x:c>
      <x:c r="J173" s="56" t="n">
        <x:v>739.0628675718567</x:v>
      </x:c>
      <x:c r="K173" s="60" t="n">
        <x:f>H173*J173</x:f>
        <x:v>10716.411579791922</x:v>
      </x:c>
      <x:c r="L173" s="52" t="str">
        <x:f>IF(I173&gt;=MAX(2,E173*0.5),"Дефицит",IF(H173&gt;=MAX(3,E173*0.75),"Избыток","Норма"))</x:f>
        <x:v>Избыток</x:v>
      </x:c>
    </x:row>
    <x:row r="174">
      <x:c r="A174" s="48" t="str">
        <x:v>UM-035</x:v>
      </x:c>
      <x:c r="B174" s="48" t="str">
        <x:v>Водолазка</x:v>
      </x:c>
      <x:c r="C174" s="48" t="str">
        <x:v>Трикотаж</x:v>
      </x:c>
      <x:c r="D174" s="48" t="str">
        <x:v>M</x:v>
      </x:c>
      <x:c r="E174" s="56" t="n">
        <x:v>11</x:v>
      </x:c>
      <x:c r="F174" s="60" t="n">
        <x:f>E174*1.5</x:f>
        <x:v>16.5</x:v>
      </x:c>
      <x:c r="G174" s="56" t="n">
        <x:v>32</x:v>
      </x:c>
      <x:c r="H174" s="60" t="n">
        <x:f>MAX(G174-F174,0)</x:f>
        <x:v>15.5</x:v>
      </x:c>
      <x:c r="I174" s="60" t="n">
        <x:f>MAX(F174-G174,0)</x:f>
        <x:v>0</x:v>
      </x:c>
      <x:c r="J174" s="56" t="n">
        <x:v>739.0628675718567</x:v>
      </x:c>
      <x:c r="K174" s="60" t="n">
        <x:f>H174*J174</x:f>
        <x:v>11455.474447363778</x:v>
      </x:c>
      <x:c r="L174" s="52" t="str">
        <x:f>IF(I174&gt;=MAX(2,E174*0.5),"Дефицит",IF(H174&gt;=MAX(3,E174*0.75),"Избыток","Норма"))</x:f>
        <x:v>Избыток</x:v>
      </x:c>
    </x:row>
    <x:row r="175">
      <x:c r="A175" s="48" t="str">
        <x:v>UM-035</x:v>
      </x:c>
      <x:c r="B175" s="48" t="str">
        <x:v>Водолазка</x:v>
      </x:c>
      <x:c r="C175" s="48" t="str">
        <x:v>Трикотаж</x:v>
      </x:c>
      <x:c r="D175" s="48" t="str">
        <x:v>L</x:v>
      </x:c>
      <x:c r="E175" s="56" t="n">
        <x:v>6</x:v>
      </x:c>
      <x:c r="F175" s="60" t="n">
        <x:f>E175*1.5</x:f>
        <x:v>9</x:v>
      </x:c>
      <x:c r="G175" s="56" t="n">
        <x:v>17</x:v>
      </x:c>
      <x:c r="H175" s="60" t="n">
        <x:f>MAX(G175-F175,0)</x:f>
        <x:v>8</x:v>
      </x:c>
      <x:c r="I175" s="60" t="n">
        <x:f>MAX(F175-G175,0)</x:f>
        <x:v>0</x:v>
      </x:c>
      <x:c r="J175" s="56" t="n">
        <x:v>739.0628675718567</x:v>
      </x:c>
      <x:c r="K175" s="60" t="n">
        <x:f>H175*J175</x:f>
        <x:v>5912.502940574854</x:v>
      </x:c>
      <x:c r="L175" s="52" t="str">
        <x:f>IF(I175&gt;=MAX(2,E175*0.5),"Дефицит",IF(H175&gt;=MAX(3,E175*0.75),"Избыток","Норма"))</x:f>
        <x:v>Избыток</x:v>
      </x:c>
    </x:row>
    <x:row r="176">
      <x:c r="A176" s="48" t="str">
        <x:v>UM-035</x:v>
      </x:c>
      <x:c r="B176" s="48" t="str">
        <x:v>Водолазка</x:v>
      </x:c>
      <x:c r="C176" s="48" t="str">
        <x:v>Трикотаж</x:v>
      </x:c>
      <x:c r="D176" s="48" t="str">
        <x:v>XL</x:v>
      </x:c>
      <x:c r="E176" s="56" t="n">
        <x:v>3</x:v>
      </x:c>
      <x:c r="F176" s="60" t="n">
        <x:f>E176*1.5</x:f>
        <x:v>4.5</x:v>
      </x:c>
      <x:c r="G176" s="56" t="n">
        <x:v>21</x:v>
      </x:c>
      <x:c r="H176" s="60" t="n">
        <x:f>MAX(G176-F176,0)</x:f>
        <x:v>16.5</x:v>
      </x:c>
      <x:c r="I176" s="60" t="n">
        <x:f>MAX(F176-G176,0)</x:f>
        <x:v>0</x:v>
      </x:c>
      <x:c r="J176" s="56" t="n">
        <x:v>739.0628675718567</x:v>
      </x:c>
      <x:c r="K176" s="60" t="n">
        <x:f>H176*J176</x:f>
        <x:v>12194.537314935636</x:v>
      </x:c>
      <x:c r="L176" s="52" t="str">
        <x:f>IF(I176&gt;=MAX(2,E176*0.5),"Дефицит",IF(H176&gt;=MAX(3,E176*0.75),"Избыток","Норма"))</x:f>
        <x:v>Избыток</x:v>
      </x:c>
    </x:row>
    <x:row r="177">
      <x:c r="A177" s="48" t="str">
        <x:v>UM-036</x:v>
      </x:c>
      <x:c r="B177" s="48" t="str">
        <x:v>Кардиган</x:v>
      </x:c>
      <x:c r="C177" s="48" t="str">
        <x:v>Трикотаж</x:v>
      </x:c>
      <x:c r="D177" s="48" t="str">
        <x:v>XS</x:v>
      </x:c>
      <x:c r="E177" s="56" t="n">
        <x:v>2</x:v>
      </x:c>
      <x:c r="F177" s="60" t="n">
        <x:f>E177*1.5</x:f>
        <x:v>3</x:v>
      </x:c>
      <x:c r="G177" s="56" t="n">
        <x:v>1</x:v>
      </x:c>
      <x:c r="H177" s="60" t="n">
        <x:f>MAX(G177-F177,0)</x:f>
        <x:v>0</x:v>
      </x:c>
      <x:c r="I177" s="60" t="n">
        <x:f>MAX(F177-G177,0)</x:f>
        <x:v>2</x:v>
      </x:c>
      <x:c r="J177" s="56" t="n">
        <x:v>1405.8377885765035</x:v>
      </x:c>
      <x:c r="K177" s="60" t="n">
        <x:f>H177*J177</x:f>
        <x:v>0</x:v>
      </x:c>
      <x:c r="L177" s="52" t="str">
        <x:f>IF(I177&gt;=MAX(2,E177*0.5),"Дефицит",IF(H177&gt;=MAX(3,E177*0.75),"Избыток","Норма"))</x:f>
        <x:v>Дефицит</x:v>
      </x:c>
    </x:row>
    <x:row r="178">
      <x:c r="A178" s="48" t="str">
        <x:v>UM-036</x:v>
      </x:c>
      <x:c r="B178" s="48" t="str">
        <x:v>Кардиган</x:v>
      </x:c>
      <x:c r="C178" s="48" t="str">
        <x:v>Трикотаж</x:v>
      </x:c>
      <x:c r="D178" s="48" t="str">
        <x:v>S</x:v>
      </x:c>
      <x:c r="E178" s="56" t="n">
        <x:v>6</x:v>
      </x:c>
      <x:c r="F178" s="60" t="n">
        <x:f>E178*1.5</x:f>
        <x:v>9</x:v>
      </x:c>
      <x:c r="G178" s="56" t="n">
        <x:v>8</x:v>
      </x:c>
      <x:c r="H178" s="60" t="n">
        <x:f>MAX(G178-F178,0)</x:f>
        <x:v>0</x:v>
      </x:c>
      <x:c r="I178" s="60" t="n">
        <x:f>MAX(F178-G178,0)</x:f>
        <x:v>1</x:v>
      </x:c>
      <x:c r="J178" s="56" t="n">
        <x:v>1405.8377885765035</x:v>
      </x:c>
      <x:c r="K178" s="60" t="n">
        <x:f>H178*J178</x:f>
        <x:v>0</x:v>
      </x:c>
      <x:c r="L178" s="52" t="str">
        <x:f>IF(I178&gt;=MAX(2,E178*0.5),"Дефицит",IF(H178&gt;=MAX(3,E178*0.75),"Избыток","Норма"))</x:f>
        <x:v>Норма</x:v>
      </x:c>
    </x:row>
    <x:row r="179">
      <x:c r="A179" s="48" t="str">
        <x:v>UM-036</x:v>
      </x:c>
      <x:c r="B179" s="48" t="str">
        <x:v>Кардиган</x:v>
      </x:c>
      <x:c r="C179" s="48" t="str">
        <x:v>Трикотаж</x:v>
      </x:c>
      <x:c r="D179" s="48" t="str">
        <x:v>M</x:v>
      </x:c>
      <x:c r="E179" s="56" t="n">
        <x:v>6</x:v>
      </x:c>
      <x:c r="F179" s="60" t="n">
        <x:f>E179*1.5</x:f>
        <x:v>9</x:v>
      </x:c>
      <x:c r="G179" s="56" t="n">
        <x:v>11</x:v>
      </x:c>
      <x:c r="H179" s="60" t="n">
        <x:f>MAX(G179-F179,0)</x:f>
        <x:v>2</x:v>
      </x:c>
      <x:c r="I179" s="60" t="n">
        <x:f>MAX(F179-G179,0)</x:f>
        <x:v>0</x:v>
      </x:c>
      <x:c r="J179" s="56" t="n">
        <x:v>1405.8377885765035</x:v>
      </x:c>
      <x:c r="K179" s="60" t="n">
        <x:f>H179*J179</x:f>
        <x:v>2811.675577153007</x:v>
      </x:c>
      <x:c r="L179" s="52" t="str">
        <x:f>IF(I179&gt;=MAX(2,E179*0.5),"Дефицит",IF(H179&gt;=MAX(3,E179*0.75),"Избыток","Норма"))</x:f>
        <x:v>Норма</x:v>
      </x:c>
    </x:row>
    <x:row r="180">
      <x:c r="A180" s="48" t="str">
        <x:v>UM-036</x:v>
      </x:c>
      <x:c r="B180" s="48" t="str">
        <x:v>Кардиган</x:v>
      </x:c>
      <x:c r="C180" s="48" t="str">
        <x:v>Трикотаж</x:v>
      </x:c>
      <x:c r="D180" s="48" t="str">
        <x:v>L</x:v>
      </x:c>
      <x:c r="E180" s="56" t="n">
        <x:v>5</x:v>
      </x:c>
      <x:c r="F180" s="60" t="n">
        <x:f>E180*1.5</x:f>
        <x:v>7.5</x:v>
      </x:c>
      <x:c r="G180" s="56" t="n">
        <x:v>8</x:v>
      </x:c>
      <x:c r="H180" s="60" t="n">
        <x:f>MAX(G180-F180,0)</x:f>
        <x:v>0.5</x:v>
      </x:c>
      <x:c r="I180" s="60" t="n">
        <x:f>MAX(F180-G180,0)</x:f>
        <x:v>0</x:v>
      </x:c>
      <x:c r="J180" s="56" t="n">
        <x:v>1405.8377885765035</x:v>
      </x:c>
      <x:c r="K180" s="60" t="n">
        <x:f>H180*J180</x:f>
        <x:v>702.9188942882517</x:v>
      </x:c>
      <x:c r="L180" s="52" t="str">
        <x:f>IF(I180&gt;=MAX(2,E180*0.5),"Дефицит",IF(H180&gt;=MAX(3,E180*0.75),"Избыток","Норма"))</x:f>
        <x:v>Норма</x:v>
      </x:c>
    </x:row>
    <x:row r="181">
      <x:c r="A181" s="48" t="str">
        <x:v>UM-036</x:v>
      </x:c>
      <x:c r="B181" s="48" t="str">
        <x:v>Кардиган</x:v>
      </x:c>
      <x:c r="C181" s="48" t="str">
        <x:v>Трикотаж</x:v>
      </x:c>
      <x:c r="D181" s="48" t="str">
        <x:v>XL</x:v>
      </x:c>
      <x:c r="E181" s="56" t="n">
        <x:v>3</x:v>
      </x:c>
      <x:c r="F181" s="60" t="n">
        <x:f>E181*1.5</x:f>
        <x:v>4.5</x:v>
      </x:c>
      <x:c r="G181" s="56" t="n">
        <x:v>2</x:v>
      </x:c>
      <x:c r="H181" s="60" t="n">
        <x:f>MAX(G181-F181,0)</x:f>
        <x:v>0</x:v>
      </x:c>
      <x:c r="I181" s="60" t="n">
        <x:f>MAX(F181-G181,0)</x:f>
        <x:v>2.5</x:v>
      </x:c>
      <x:c r="J181" s="56" t="n">
        <x:v>1405.8377885765035</x:v>
      </x:c>
      <x:c r="K181" s="60" t="n">
        <x:f>H181*J181</x:f>
        <x:v>0</x:v>
      </x:c>
      <x:c r="L181" s="52" t="str">
        <x:f>IF(I181&gt;=MAX(2,E181*0.5),"Дефицит",IF(H181&gt;=MAX(3,E181*0.75),"Избыток","Норма"))</x:f>
        <x:v>Дефицит</x:v>
      </x:c>
    </x:row>
    <x:row r="182">
      <x:c r="A182" s="48" t="str">
        <x:v>UM-037</x:v>
      </x:c>
      <x:c r="B182" s="48" t="str">
        <x:v>Джемпер oversize</x:v>
      </x:c>
      <x:c r="C182" s="48" t="str">
        <x:v>Трикотаж</x:v>
      </x:c>
      <x:c r="D182" s="48" t="str">
        <x:v>XS</x:v>
      </x:c>
      <x:c r="E182" s="56" t="n">
        <x:v>2</x:v>
      </x:c>
      <x:c r="F182" s="60" t="n">
        <x:f>E182*1.5</x:f>
        <x:v>3</x:v>
      </x:c>
      <x:c r="G182" s="56" t="n">
        <x:v>2</x:v>
      </x:c>
      <x:c r="H182" s="60" t="n">
        <x:f>MAX(G182-F182,0)</x:f>
        <x:v>0</x:v>
      </x:c>
      <x:c r="I182" s="60" t="n">
        <x:f>MAX(F182-G182,0)</x:f>
        <x:v>1</x:v>
      </x:c>
      <x:c r="J182" s="56" t="n">
        <x:v>984.7182957470421</x:v>
      </x:c>
      <x:c r="K182" s="60" t="n">
        <x:f>H182*J182</x:f>
        <x:v>0</x:v>
      </x:c>
      <x:c r="L182" s="52" t="str">
        <x:f>IF(I182&gt;=MAX(2,E182*0.5),"Дефицит",IF(H182&gt;=MAX(3,E182*0.75),"Избыток","Норма"))</x:f>
        <x:v>Норма</x:v>
      </x:c>
    </x:row>
    <x:row r="183">
      <x:c r="A183" s="48" t="str">
        <x:v>UM-037</x:v>
      </x:c>
      <x:c r="B183" s="48" t="str">
        <x:v>Джемпер oversize</x:v>
      </x:c>
      <x:c r="C183" s="48" t="str">
        <x:v>Трикотаж</x:v>
      </x:c>
      <x:c r="D183" s="48" t="str">
        <x:v>S</x:v>
      </x:c>
      <x:c r="E183" s="56" t="n">
        <x:v>6</x:v>
      </x:c>
      <x:c r="F183" s="60" t="n">
        <x:f>E183*1.5</x:f>
        <x:v>9</x:v>
      </x:c>
      <x:c r="G183" s="56" t="n">
        <x:v>15</x:v>
      </x:c>
      <x:c r="H183" s="60" t="n">
        <x:f>MAX(G183-F183,0)</x:f>
        <x:v>6</x:v>
      </x:c>
      <x:c r="I183" s="60" t="n">
        <x:f>MAX(F183-G183,0)</x:f>
        <x:v>0</x:v>
      </x:c>
      <x:c r="J183" s="56" t="n">
        <x:v>984.7182957470421</x:v>
      </x:c>
      <x:c r="K183" s="60" t="n">
        <x:f>H183*J183</x:f>
        <x:v>5908.309774482253</x:v>
      </x:c>
      <x:c r="L183" s="52" t="str">
        <x:f>IF(I183&gt;=MAX(2,E183*0.5),"Дефицит",IF(H183&gt;=MAX(3,E183*0.75),"Избыток","Норма"))</x:f>
        <x:v>Избыток</x:v>
      </x:c>
    </x:row>
    <x:row r="184">
      <x:c r="A184" s="48" t="str">
        <x:v>UM-037</x:v>
      </x:c>
      <x:c r="B184" s="48" t="str">
        <x:v>Джемпер oversize</x:v>
      </x:c>
      <x:c r="C184" s="48" t="str">
        <x:v>Трикотаж</x:v>
      </x:c>
      <x:c r="D184" s="48" t="str">
        <x:v>M</x:v>
      </x:c>
      <x:c r="E184" s="56" t="n">
        <x:v>8</x:v>
      </x:c>
      <x:c r="F184" s="60" t="n">
        <x:f>E184*1.5</x:f>
        <x:v>12</x:v>
      </x:c>
      <x:c r="G184" s="56" t="n">
        <x:v>16</x:v>
      </x:c>
      <x:c r="H184" s="60" t="n">
        <x:f>MAX(G184-F184,0)</x:f>
        <x:v>4</x:v>
      </x:c>
      <x:c r="I184" s="60" t="n">
        <x:f>MAX(F184-G184,0)</x:f>
        <x:v>0</x:v>
      </x:c>
      <x:c r="J184" s="56" t="n">
        <x:v>984.7182957470421</x:v>
      </x:c>
      <x:c r="K184" s="60" t="n">
        <x:f>H184*J184</x:f>
        <x:v>3938.8731829881685</x:v>
      </x:c>
      <x:c r="L184" s="52" t="str">
        <x:f>IF(I184&gt;=MAX(2,E184*0.5),"Дефицит",IF(H184&gt;=MAX(3,E184*0.75),"Избыток","Норма"))</x:f>
        <x:v>Норма</x:v>
      </x:c>
    </x:row>
    <x:row r="185">
      <x:c r="A185" s="48" t="str">
        <x:v>UM-037</x:v>
      </x:c>
      <x:c r="B185" s="48" t="str">
        <x:v>Джемпер oversize</x:v>
      </x:c>
      <x:c r="C185" s="48" t="str">
        <x:v>Трикотаж</x:v>
      </x:c>
      <x:c r="D185" s="48" t="str">
        <x:v>L</x:v>
      </x:c>
      <x:c r="E185" s="56" t="n">
        <x:v>5</x:v>
      </x:c>
      <x:c r="F185" s="60" t="n">
        <x:f>E185*1.5</x:f>
        <x:v>7.5</x:v>
      </x:c>
      <x:c r="G185" s="56" t="n">
        <x:v>7</x:v>
      </x:c>
      <x:c r="H185" s="60" t="n">
        <x:f>MAX(G185-F185,0)</x:f>
        <x:v>0</x:v>
      </x:c>
      <x:c r="I185" s="60" t="n">
        <x:f>MAX(F185-G185,0)</x:f>
        <x:v>0.5</x:v>
      </x:c>
      <x:c r="J185" s="56" t="n">
        <x:v>984.7182957470421</x:v>
      </x:c>
      <x:c r="K185" s="60" t="n">
        <x:f>H185*J185</x:f>
        <x:v>0</x:v>
      </x:c>
      <x:c r="L185" s="52" t="str">
        <x:f>IF(I185&gt;=MAX(2,E185*0.5),"Дефицит",IF(H185&gt;=MAX(3,E185*0.75),"Избыток","Норма"))</x:f>
        <x:v>Норма</x:v>
      </x:c>
    </x:row>
    <x:row r="186">
      <x:c r="A186" s="48" t="str">
        <x:v>UM-037</x:v>
      </x:c>
      <x:c r="B186" s="48" t="str">
        <x:v>Джемпер oversize</x:v>
      </x:c>
      <x:c r="C186" s="48" t="str">
        <x:v>Трикотаж</x:v>
      </x:c>
      <x:c r="D186" s="48" t="str">
        <x:v>XL</x:v>
      </x:c>
      <x:c r="E186" s="56" t="n">
        <x:v>4</x:v>
      </x:c>
      <x:c r="F186" s="60" t="n">
        <x:f>E186*1.5</x:f>
        <x:v>6</x:v>
      </x:c>
      <x:c r="G186" s="56" t="n">
        <x:v>4</x:v>
      </x:c>
      <x:c r="H186" s="60" t="n">
        <x:f>MAX(G186-F186,0)</x:f>
        <x:v>0</x:v>
      </x:c>
      <x:c r="I186" s="60" t="n">
        <x:f>MAX(F186-G186,0)</x:f>
        <x:v>2</x:v>
      </x:c>
      <x:c r="J186" s="56" t="n">
        <x:v>984.7182957470421</x:v>
      </x:c>
      <x:c r="K186" s="60" t="n">
        <x:f>H186*J186</x:f>
        <x:v>0</x:v>
      </x:c>
      <x:c r="L186" s="52" t="str">
        <x:f>IF(I186&gt;=MAX(2,E186*0.5),"Дефицит",IF(H186&gt;=MAX(3,E186*0.75),"Избыток","Норма"))</x:f>
        <x:v>Дефицит</x:v>
      </x:c>
    </x:row>
    <x:row r="187">
      <x:c r="A187" s="48" t="str">
        <x:v>UM-038</x:v>
      </x:c>
      <x:c r="B187" s="48" t="str">
        <x:v>Свитер с воротом</x:v>
      </x:c>
      <x:c r="C187" s="48" t="str">
        <x:v>Трикотаж</x:v>
      </x:c>
      <x:c r="D187" s="48" t="str">
        <x:v>XS</x:v>
      </x:c>
      <x:c r="E187" s="56" t="n">
        <x:v>1</x:v>
      </x:c>
      <x:c r="F187" s="60" t="n">
        <x:f>E187*1.5</x:f>
        <x:v>1.5</x:v>
      </x:c>
      <x:c r="G187" s="56" t="n">
        <x:v>3</x:v>
      </x:c>
      <x:c r="H187" s="60" t="n">
        <x:f>MAX(G187-F187,0)</x:f>
        <x:v>1.5</x:v>
      </x:c>
      <x:c r="I187" s="60" t="n">
        <x:f>MAX(F187-G187,0)</x:f>
        <x:v>0</x:v>
      </x:c>
      <x:c r="J187" s="56" t="n">
        <x:v>1365.1509005626156</x:v>
      </x:c>
      <x:c r="K187" s="60" t="n">
        <x:f>H187*J187</x:f>
        <x:v>2047.7263508439232</x:v>
      </x:c>
      <x:c r="L187" s="52" t="str">
        <x:f>IF(I187&gt;=MAX(2,E187*0.5),"Дефицит",IF(H187&gt;=MAX(3,E187*0.75),"Избыток","Норма"))</x:f>
        <x:v>Норма</x:v>
      </x:c>
    </x:row>
    <x:row r="188">
      <x:c r="A188" s="48" t="str">
        <x:v>UM-038</x:v>
      </x:c>
      <x:c r="B188" s="48" t="str">
        <x:v>Свитер с воротом</x:v>
      </x:c>
      <x:c r="C188" s="48" t="str">
        <x:v>Трикотаж</x:v>
      </x:c>
      <x:c r="D188" s="48" t="str">
        <x:v>S</x:v>
      </x:c>
      <x:c r="E188" s="56" t="n">
        <x:v>5</x:v>
      </x:c>
      <x:c r="F188" s="60" t="n">
        <x:f>E188*1.5</x:f>
        <x:v>7.5</x:v>
      </x:c>
      <x:c r="G188" s="56" t="n">
        <x:v>10</x:v>
      </x:c>
      <x:c r="H188" s="60" t="n">
        <x:f>MAX(G188-F188,0)</x:f>
        <x:v>2.5</x:v>
      </x:c>
      <x:c r="I188" s="60" t="n">
        <x:f>MAX(F188-G188,0)</x:f>
        <x:v>0</x:v>
      </x:c>
      <x:c r="J188" s="56" t="n">
        <x:v>1365.1509005626156</x:v>
      </x:c>
      <x:c r="K188" s="60" t="n">
        <x:f>H188*J188</x:f>
        <x:v>3412.877251406539</x:v>
      </x:c>
      <x:c r="L188" s="52" t="str">
        <x:f>IF(I188&gt;=MAX(2,E188*0.5),"Дефицит",IF(H188&gt;=MAX(3,E188*0.75),"Избыток","Норма"))</x:f>
        <x:v>Норма</x:v>
      </x:c>
    </x:row>
    <x:row r="189">
      <x:c r="A189" s="48" t="str">
        <x:v>UM-038</x:v>
      </x:c>
      <x:c r="B189" s="48" t="str">
        <x:v>Свитер с воротом</x:v>
      </x:c>
      <x:c r="C189" s="48" t="str">
        <x:v>Трикотаж</x:v>
      </x:c>
      <x:c r="D189" s="48" t="str">
        <x:v>M</x:v>
      </x:c>
      <x:c r="E189" s="56" t="n">
        <x:v>5</x:v>
      </x:c>
      <x:c r="F189" s="60" t="n">
        <x:f>E189*1.5</x:f>
        <x:v>7.5</x:v>
      </x:c>
      <x:c r="G189" s="56" t="n">
        <x:v>8</x:v>
      </x:c>
      <x:c r="H189" s="60" t="n">
        <x:f>MAX(G189-F189,0)</x:f>
        <x:v>0.5</x:v>
      </x:c>
      <x:c r="I189" s="60" t="n">
        <x:f>MAX(F189-G189,0)</x:f>
        <x:v>0</x:v>
      </x:c>
      <x:c r="J189" s="56" t="n">
        <x:v>1365.1509005626156</x:v>
      </x:c>
      <x:c r="K189" s="60" t="n">
        <x:f>H189*J189</x:f>
        <x:v>682.5754502813078</x:v>
      </x:c>
      <x:c r="L189" s="52" t="str">
        <x:f>IF(I189&gt;=MAX(2,E189*0.5),"Дефицит",IF(H189&gt;=MAX(3,E189*0.75),"Избыток","Норма"))</x:f>
        <x:v>Норма</x:v>
      </x:c>
    </x:row>
    <x:row r="190">
      <x:c r="A190" s="48" t="str">
        <x:v>UM-038</x:v>
      </x:c>
      <x:c r="B190" s="48" t="str">
        <x:v>Свитер с воротом</x:v>
      </x:c>
      <x:c r="C190" s="48" t="str">
        <x:v>Трикотаж</x:v>
      </x:c>
      <x:c r="D190" s="48" t="str">
        <x:v>L</x:v>
      </x:c>
      <x:c r="E190" s="56" t="n">
        <x:v>5</x:v>
      </x:c>
      <x:c r="F190" s="60" t="n">
        <x:f>E190*1.5</x:f>
        <x:v>7.5</x:v>
      </x:c>
      <x:c r="G190" s="56" t="n">
        <x:v>8</x:v>
      </x:c>
      <x:c r="H190" s="60" t="n">
        <x:f>MAX(G190-F190,0)</x:f>
        <x:v>0.5</x:v>
      </x:c>
      <x:c r="I190" s="60" t="n">
        <x:f>MAX(F190-G190,0)</x:f>
        <x:v>0</x:v>
      </x:c>
      <x:c r="J190" s="56" t="n">
        <x:v>1365.1509005626156</x:v>
      </x:c>
      <x:c r="K190" s="60" t="n">
        <x:f>H190*J190</x:f>
        <x:v>682.5754502813078</x:v>
      </x:c>
      <x:c r="L190" s="52" t="str">
        <x:f>IF(I190&gt;=MAX(2,E190*0.5),"Дефицит",IF(H190&gt;=MAX(3,E190*0.75),"Избыток","Норма"))</x:f>
        <x:v>Норма</x:v>
      </x:c>
    </x:row>
    <x:row r="191">
      <x:c r="A191" s="48" t="str">
        <x:v>UM-038</x:v>
      </x:c>
      <x:c r="B191" s="48" t="str">
        <x:v>Свитер с воротом</x:v>
      </x:c>
      <x:c r="C191" s="48" t="str">
        <x:v>Трикотаж</x:v>
      </x:c>
      <x:c r="D191" s="48" t="str">
        <x:v>XL</x:v>
      </x:c>
      <x:c r="E191" s="56" t="n">
        <x:v>3</x:v>
      </x:c>
      <x:c r="F191" s="60" t="n">
        <x:f>E191*1.5</x:f>
        <x:v>4.5</x:v>
      </x:c>
      <x:c r="G191" s="56" t="n">
        <x:v>3</x:v>
      </x:c>
      <x:c r="H191" s="60" t="n">
        <x:f>MAX(G191-F191,0)</x:f>
        <x:v>0</x:v>
      </x:c>
      <x:c r="I191" s="60" t="n">
        <x:f>MAX(F191-G191,0)</x:f>
        <x:v>1.5</x:v>
      </x:c>
      <x:c r="J191" s="56" t="n">
        <x:v>1365.1509005626156</x:v>
      </x:c>
      <x:c r="K191" s="60" t="n">
        <x:f>H191*J191</x:f>
        <x:v>0</x:v>
      </x:c>
      <x:c r="L191" s="52" t="str">
        <x:f>IF(I191&gt;=MAX(2,E191*0.5),"Дефицит",IF(H191&gt;=MAX(3,E191*0.75),"Избыток","Норма"))</x:f>
        <x:v>Норма</x:v>
      </x:c>
    </x:row>
    <x:row r="192">
      <x:c r="A192" s="48" t="str">
        <x:v>UM-039</x:v>
      </x:c>
      <x:c r="B192" s="48" t="str">
        <x:v>Трикотажный топ</x:v>
      </x:c>
      <x:c r="C192" s="48" t="str">
        <x:v>Трикотаж</x:v>
      </x:c>
      <x:c r="D192" s="48" t="str">
        <x:v>XS</x:v>
      </x:c>
      <x:c r="E192" s="56" t="n">
        <x:v>1</x:v>
      </x:c>
      <x:c r="F192" s="60" t="n">
        <x:f>E192*1.5</x:f>
        <x:v>1.5</x:v>
      </x:c>
      <x:c r="G192" s="56" t="n">
        <x:v>4</x:v>
      </x:c>
      <x:c r="H192" s="60" t="n">
        <x:f>MAX(G192-F192,0)</x:f>
        <x:v>2.5</x:v>
      </x:c>
      <x:c r="I192" s="60" t="n">
        <x:f>MAX(F192-G192,0)</x:f>
        <x:v>0</x:v>
      </x:c>
      <x:c r="J192" s="56" t="n">
        <x:v>794.8046613915593</x:v>
      </x:c>
      <x:c r="K192" s="60" t="n">
        <x:f>H192*J192</x:f>
        <x:v>1987.0116534788983</x:v>
      </x:c>
      <x:c r="L192" s="52" t="str">
        <x:f>IF(I192&gt;=MAX(2,E192*0.5),"Дефицит",IF(H192&gt;=MAX(3,E192*0.75),"Избыток","Норма"))</x:f>
        <x:v>Норма</x:v>
      </x:c>
    </x:row>
    <x:row r="193">
      <x:c r="A193" s="48" t="str">
        <x:v>UM-039</x:v>
      </x:c>
      <x:c r="B193" s="48" t="str">
        <x:v>Трикотажный топ</x:v>
      </x:c>
      <x:c r="C193" s="48" t="str">
        <x:v>Трикотаж</x:v>
      </x:c>
      <x:c r="D193" s="48" t="str">
        <x:v>S</x:v>
      </x:c>
      <x:c r="E193" s="56" t="n">
        <x:v>3</x:v>
      </x:c>
      <x:c r="F193" s="60" t="n">
        <x:f>E193*1.5</x:f>
        <x:v>4.5</x:v>
      </x:c>
      <x:c r="G193" s="56" t="n">
        <x:v>7</x:v>
      </x:c>
      <x:c r="H193" s="60" t="n">
        <x:f>MAX(G193-F193,0)</x:f>
        <x:v>2.5</x:v>
      </x:c>
      <x:c r="I193" s="60" t="n">
        <x:f>MAX(F193-G193,0)</x:f>
        <x:v>0</x:v>
      </x:c>
      <x:c r="J193" s="56" t="n">
        <x:v>794.8046613915593</x:v>
      </x:c>
      <x:c r="K193" s="60" t="n">
        <x:f>H193*J193</x:f>
        <x:v>1987.0116534788983</x:v>
      </x:c>
      <x:c r="L193" s="52" t="str">
        <x:f>IF(I193&gt;=MAX(2,E193*0.5),"Дефицит",IF(H193&gt;=MAX(3,E193*0.75),"Избыток","Норма"))</x:f>
        <x:v>Норма</x:v>
      </x:c>
    </x:row>
    <x:row r="194">
      <x:c r="A194" s="48" t="str">
        <x:v>UM-039</x:v>
      </x:c>
      <x:c r="B194" s="48" t="str">
        <x:v>Трикотажный топ</x:v>
      </x:c>
      <x:c r="C194" s="48" t="str">
        <x:v>Трикотаж</x:v>
      </x:c>
      <x:c r="D194" s="48" t="str">
        <x:v>M</x:v>
      </x:c>
      <x:c r="E194" s="56" t="n">
        <x:v>4</x:v>
      </x:c>
      <x:c r="F194" s="60" t="n">
        <x:f>E194*1.5</x:f>
        <x:v>6</x:v>
      </x:c>
      <x:c r="G194" s="56" t="n">
        <x:v>14</x:v>
      </x:c>
      <x:c r="H194" s="60" t="n">
        <x:f>MAX(G194-F194,0)</x:f>
        <x:v>8</x:v>
      </x:c>
      <x:c r="I194" s="60" t="n">
        <x:f>MAX(F194-G194,0)</x:f>
        <x:v>0</x:v>
      </x:c>
      <x:c r="J194" s="56" t="n">
        <x:v>794.8046613915593</x:v>
      </x:c>
      <x:c r="K194" s="60" t="n">
        <x:f>H194*J194</x:f>
        <x:v>6358.4372911324745</x:v>
      </x:c>
      <x:c r="L194" s="52" t="str">
        <x:f>IF(I194&gt;=MAX(2,E194*0.5),"Дефицит",IF(H194&gt;=MAX(3,E194*0.75),"Избыток","Норма"))</x:f>
        <x:v>Избыток</x:v>
      </x:c>
    </x:row>
    <x:row r="195">
      <x:c r="A195" s="48" t="str">
        <x:v>UM-039</x:v>
      </x:c>
      <x:c r="B195" s="48" t="str">
        <x:v>Трикотажный топ</x:v>
      </x:c>
      <x:c r="C195" s="48" t="str">
        <x:v>Трикотаж</x:v>
      </x:c>
      <x:c r="D195" s="48" t="str">
        <x:v>L</x:v>
      </x:c>
      <x:c r="E195" s="56" t="n">
        <x:v>4</x:v>
      </x:c>
      <x:c r="F195" s="60" t="n">
        <x:f>E195*1.5</x:f>
        <x:v>6</x:v>
      </x:c>
      <x:c r="G195" s="56" t="n">
        <x:v>7</x:v>
      </x:c>
      <x:c r="H195" s="60" t="n">
        <x:f>MAX(G195-F195,0)</x:f>
        <x:v>1</x:v>
      </x:c>
      <x:c r="I195" s="60" t="n">
        <x:f>MAX(F195-G195,0)</x:f>
        <x:v>0</x:v>
      </x:c>
      <x:c r="J195" s="56" t="n">
        <x:v>794.8046613915593</x:v>
      </x:c>
      <x:c r="K195" s="60" t="n">
        <x:f>H195*J195</x:f>
        <x:v>794.8046613915593</x:v>
      </x:c>
      <x:c r="L195" s="52" t="str">
        <x:f>IF(I195&gt;=MAX(2,E195*0.5),"Дефицит",IF(H195&gt;=MAX(3,E195*0.75),"Избыток","Норма"))</x:f>
        <x:v>Норма</x:v>
      </x:c>
    </x:row>
    <x:row r="196">
      <x:c r="A196" s="48" t="str">
        <x:v>UM-039</x:v>
      </x:c>
      <x:c r="B196" s="48" t="str">
        <x:v>Трикотажный топ</x:v>
      </x:c>
      <x:c r="C196" s="48" t="str">
        <x:v>Трикотаж</x:v>
      </x:c>
      <x:c r="D196" s="48" t="str">
        <x:v>XL</x:v>
      </x:c>
      <x:c r="E196" s="56" t="n">
        <x:v>1</x:v>
      </x:c>
      <x:c r="F196" s="60" t="n">
        <x:f>E196*1.5</x:f>
        <x:v>1.5</x:v>
      </x:c>
      <x:c r="G196" s="56" t="n">
        <x:v>9</x:v>
      </x:c>
      <x:c r="H196" s="60" t="n">
        <x:f>MAX(G196-F196,0)</x:f>
        <x:v>7.5</x:v>
      </x:c>
      <x:c r="I196" s="60" t="n">
        <x:f>MAX(F196-G196,0)</x:f>
        <x:v>0</x:v>
      </x:c>
      <x:c r="J196" s="56" t="n">
        <x:v>794.8046613915593</x:v>
      </x:c>
      <x:c r="K196" s="60" t="n">
        <x:f>H196*J196</x:f>
        <x:v>5961.034960436695</x:v>
      </x:c>
      <x:c r="L196" s="52" t="str">
        <x:f>IF(I196&gt;=MAX(2,E196*0.5),"Дефицит",IF(H196&gt;=MAX(3,E196*0.75),"Избыток","Норма"))</x:f>
        <x:v>Избыток</x:v>
      </x:c>
    </x:row>
    <x:row r="197">
      <x:c r="A197" s="48" t="str">
        <x:v>UM-040</x:v>
      </x:c>
      <x:c r="B197" s="48" t="str">
        <x:v>Пуловер V-neck</x:v>
      </x:c>
      <x:c r="C197" s="48" t="str">
        <x:v>Трикотаж</x:v>
      </x:c>
      <x:c r="D197" s="48" t="str">
        <x:v>XS</x:v>
      </x:c>
      <x:c r="E197" s="56" t="n">
        <x:v>3</x:v>
      </x:c>
      <x:c r="F197" s="60" t="n">
        <x:f>E197*1.5</x:f>
        <x:v>4.5</x:v>
      </x:c>
      <x:c r="G197" s="56" t="n">
        <x:v>3</x:v>
      </x:c>
      <x:c r="H197" s="60" t="n">
        <x:f>MAX(G197-F197,0)</x:f>
        <x:v>0</x:v>
      </x:c>
      <x:c r="I197" s="60" t="n">
        <x:f>MAX(F197-G197,0)</x:f>
        <x:v>1.5</x:v>
      </x:c>
      <x:c r="J197" s="56" t="n">
        <x:v>1141.8611160727887</x:v>
      </x:c>
      <x:c r="K197" s="60" t="n">
        <x:f>H197*J197</x:f>
        <x:v>0</x:v>
      </x:c>
      <x:c r="L197" s="52" t="str">
        <x:f>IF(I197&gt;=MAX(2,E197*0.5),"Дефицит",IF(H197&gt;=MAX(3,E197*0.75),"Избыток","Норма"))</x:f>
        <x:v>Норма</x:v>
      </x:c>
    </x:row>
    <x:row r="198">
      <x:c r="A198" s="48" t="str">
        <x:v>UM-040</x:v>
      </x:c>
      <x:c r="B198" s="48" t="str">
        <x:v>Пуловер V-neck</x:v>
      </x:c>
      <x:c r="C198" s="48" t="str">
        <x:v>Трикотаж</x:v>
      </x:c>
      <x:c r="D198" s="48" t="str">
        <x:v>S</x:v>
      </x:c>
      <x:c r="E198" s="56" t="n">
        <x:v>7</x:v>
      </x:c>
      <x:c r="F198" s="60" t="n">
        <x:f>E198*1.5</x:f>
        <x:v>10.5</x:v>
      </x:c>
      <x:c r="G198" s="56" t="n">
        <x:v>5</x:v>
      </x:c>
      <x:c r="H198" s="60" t="n">
        <x:f>MAX(G198-F198,0)</x:f>
        <x:v>0</x:v>
      </x:c>
      <x:c r="I198" s="60" t="n">
        <x:f>MAX(F198-G198,0)</x:f>
        <x:v>5.5</x:v>
      </x:c>
      <x:c r="J198" s="56" t="n">
        <x:v>1141.8611160727887</x:v>
      </x:c>
      <x:c r="K198" s="60" t="n">
        <x:f>H198*J198</x:f>
        <x:v>0</x:v>
      </x:c>
      <x:c r="L198" s="52" t="str">
        <x:f>IF(I198&gt;=MAX(2,E198*0.5),"Дефицит",IF(H198&gt;=MAX(3,E198*0.75),"Избыток","Норма"))</x:f>
        <x:v>Дефицит</x:v>
      </x:c>
    </x:row>
    <x:row r="199">
      <x:c r="A199" s="48" t="str">
        <x:v>UM-040</x:v>
      </x:c>
      <x:c r="B199" s="48" t="str">
        <x:v>Пуловер V-neck</x:v>
      </x:c>
      <x:c r="C199" s="48" t="str">
        <x:v>Трикотаж</x:v>
      </x:c>
      <x:c r="D199" s="48" t="str">
        <x:v>M</x:v>
      </x:c>
      <x:c r="E199" s="56" t="n">
        <x:v>9</x:v>
      </x:c>
      <x:c r="F199" s="60" t="n">
        <x:f>E199*1.5</x:f>
        <x:v>13.5</x:v>
      </x:c>
      <x:c r="G199" s="56" t="n">
        <x:v>2</x:v>
      </x:c>
      <x:c r="H199" s="60" t="n">
        <x:f>MAX(G199-F199,0)</x:f>
        <x:v>0</x:v>
      </x:c>
      <x:c r="I199" s="60" t="n">
        <x:f>MAX(F199-G199,0)</x:f>
        <x:v>11.5</x:v>
      </x:c>
      <x:c r="J199" s="56" t="n">
        <x:v>1141.8611160727887</x:v>
      </x:c>
      <x:c r="K199" s="60" t="n">
        <x:f>H199*J199</x:f>
        <x:v>0</x:v>
      </x:c>
      <x:c r="L199" s="52" t="str">
        <x:f>IF(I199&gt;=MAX(2,E199*0.5),"Дефицит",IF(H199&gt;=MAX(3,E199*0.75),"Избыток","Норма"))</x:f>
        <x:v>Дефицит</x:v>
      </x:c>
    </x:row>
    <x:row r="200">
      <x:c r="A200" s="48" t="str">
        <x:v>UM-040</x:v>
      </x:c>
      <x:c r="B200" s="48" t="str">
        <x:v>Пуловер V-neck</x:v>
      </x:c>
      <x:c r="C200" s="48" t="str">
        <x:v>Трикотаж</x:v>
      </x:c>
      <x:c r="D200" s="48" t="str">
        <x:v>L</x:v>
      </x:c>
      <x:c r="E200" s="56" t="n">
        <x:v>8</x:v>
      </x:c>
      <x:c r="F200" s="60" t="n">
        <x:f>E200*1.5</x:f>
        <x:v>12</x:v>
      </x:c>
      <x:c r="G200" s="56" t="n">
        <x:v>2</x:v>
      </x:c>
      <x:c r="H200" s="60" t="n">
        <x:f>MAX(G200-F200,0)</x:f>
        <x:v>0</x:v>
      </x:c>
      <x:c r="I200" s="60" t="n">
        <x:f>MAX(F200-G200,0)</x:f>
        <x:v>10</x:v>
      </x:c>
      <x:c r="J200" s="56" t="n">
        <x:v>1141.8611160727887</x:v>
      </x:c>
      <x:c r="K200" s="60" t="n">
        <x:f>H200*J200</x:f>
        <x:v>0</x:v>
      </x:c>
      <x:c r="L200" s="52" t="str">
        <x:f>IF(I200&gt;=MAX(2,E200*0.5),"Дефицит",IF(H200&gt;=MAX(3,E200*0.75),"Избыток","Норма"))</x:f>
        <x:v>Дефицит</x:v>
      </x:c>
    </x:row>
    <x:row r="201">
      <x:c r="A201" s="48" t="str">
        <x:v>UM-040</x:v>
      </x:c>
      <x:c r="B201" s="48" t="str">
        <x:v>Пуловер V-neck</x:v>
      </x:c>
      <x:c r="C201" s="48" t="str">
        <x:v>Трикотаж</x:v>
      </x:c>
      <x:c r="D201" s="48" t="str">
        <x:v>XL</x:v>
      </x:c>
      <x:c r="E201" s="56" t="n">
        <x:v>3</x:v>
      </x:c>
      <x:c r="F201" s="60" t="n">
        <x:f>E201*1.5</x:f>
        <x:v>4.5</x:v>
      </x:c>
      <x:c r="G201" s="56" t="n">
        <x:v>8</x:v>
      </x:c>
      <x:c r="H201" s="60" t="n">
        <x:f>MAX(G201-F201,0)</x:f>
        <x:v>3.5</x:v>
      </x:c>
      <x:c r="I201" s="60" t="n">
        <x:f>MAX(F201-G201,0)</x:f>
        <x:v>0</x:v>
      </x:c>
      <x:c r="J201" s="56" t="n">
        <x:v>1141.8611160727887</x:v>
      </x:c>
      <x:c r="K201" s="60" t="n">
        <x:f>H201*J201</x:f>
        <x:v>3996.5139062547605</x:v>
      </x:c>
      <x:c r="L201" s="52" t="str">
        <x:f>IF(I201&gt;=MAX(2,E201*0.5),"Дефицит",IF(H201&gt;=MAX(3,E201*0.75),"Избыток","Норма"))</x:f>
        <x:v>Избыток</x:v>
      </x:c>
    </x:row>
    <x:row r="202">
      <x:c r="A202" s="48" t="str">
        <x:v>UM-041</x:v>
      </x:c>
      <x:c r="B202" s="48" t="str">
        <x:v>Жилет трикотажный</x:v>
      </x:c>
      <x:c r="C202" s="48" t="str">
        <x:v>Трикотаж</x:v>
      </x:c>
      <x:c r="D202" s="48" t="str">
        <x:v>XS</x:v>
      </x:c>
      <x:c r="E202" s="56" t="n">
        <x:v>2</x:v>
      </x:c>
      <x:c r="F202" s="60" t="n">
        <x:f>E202*1.5</x:f>
        <x:v>3</x:v>
      </x:c>
      <x:c r="G202" s="56" t="n">
        <x:v>12</x:v>
      </x:c>
      <x:c r="H202" s="60" t="n">
        <x:f>MAX(G202-F202,0)</x:f>
        <x:v>9</x:v>
      </x:c>
      <x:c r="I202" s="60" t="n">
        <x:f>MAX(F202-G202,0)</x:f>
        <x:v>0</x:v>
      </x:c>
      <x:c r="J202" s="56" t="n">
        <x:v>626.6597075183078</x:v>
      </x:c>
      <x:c r="K202" s="60" t="n">
        <x:f>H202*J202</x:f>
        <x:v>5639.93736766477</x:v>
      </x:c>
      <x:c r="L202" s="52" t="str">
        <x:f>IF(I202&gt;=MAX(2,E202*0.5),"Дефицит",IF(H202&gt;=MAX(3,E202*0.75),"Избыток","Норма"))</x:f>
        <x:v>Избыток</x:v>
      </x:c>
    </x:row>
    <x:row r="203">
      <x:c r="A203" s="48" t="str">
        <x:v>UM-041</x:v>
      </x:c>
      <x:c r="B203" s="48" t="str">
        <x:v>Жилет трикотажный</x:v>
      </x:c>
      <x:c r="C203" s="48" t="str">
        <x:v>Трикотаж</x:v>
      </x:c>
      <x:c r="D203" s="48" t="str">
        <x:v>S</x:v>
      </x:c>
      <x:c r="E203" s="56" t="n">
        <x:v>5</x:v>
      </x:c>
      <x:c r="F203" s="60" t="n">
        <x:f>E203*1.5</x:f>
        <x:v>7.5</x:v>
      </x:c>
      <x:c r="G203" s="56" t="n">
        <x:v>16</x:v>
      </x:c>
      <x:c r="H203" s="60" t="n">
        <x:f>MAX(G203-F203,0)</x:f>
        <x:v>8.5</x:v>
      </x:c>
      <x:c r="I203" s="60" t="n">
        <x:f>MAX(F203-G203,0)</x:f>
        <x:v>0</x:v>
      </x:c>
      <x:c r="J203" s="56" t="n">
        <x:v>626.6597075183078</x:v>
      </x:c>
      <x:c r="K203" s="60" t="n">
        <x:f>H203*J203</x:f>
        <x:v>5326.607513905616</x:v>
      </x:c>
      <x:c r="L203" s="52" t="str">
        <x:f>IF(I203&gt;=MAX(2,E203*0.5),"Дефицит",IF(H203&gt;=MAX(3,E203*0.75),"Избыток","Норма"))</x:f>
        <x:v>Избыток</x:v>
      </x:c>
    </x:row>
    <x:row r="204">
      <x:c r="A204" s="48" t="str">
        <x:v>UM-041</x:v>
      </x:c>
      <x:c r="B204" s="48" t="str">
        <x:v>Жилет трикотажный</x:v>
      </x:c>
      <x:c r="C204" s="48" t="str">
        <x:v>Трикотаж</x:v>
      </x:c>
      <x:c r="D204" s="48" t="str">
        <x:v>M</x:v>
      </x:c>
      <x:c r="E204" s="56" t="n">
        <x:v>5</x:v>
      </x:c>
      <x:c r="F204" s="60" t="n">
        <x:f>E204*1.5</x:f>
        <x:v>7.5</x:v>
      </x:c>
      <x:c r="G204" s="56" t="n">
        <x:v>25</x:v>
      </x:c>
      <x:c r="H204" s="60" t="n">
        <x:f>MAX(G204-F204,0)</x:f>
        <x:v>17.5</x:v>
      </x:c>
      <x:c r="I204" s="60" t="n">
        <x:f>MAX(F204-G204,0)</x:f>
        <x:v>0</x:v>
      </x:c>
      <x:c r="J204" s="56" t="n">
        <x:v>626.6597075183078</x:v>
      </x:c>
      <x:c r="K204" s="60" t="n">
        <x:f>H204*J204</x:f>
        <x:v>10966.544881570386</x:v>
      </x:c>
      <x:c r="L204" s="52" t="str">
        <x:f>IF(I204&gt;=MAX(2,E204*0.5),"Дефицит",IF(H204&gt;=MAX(3,E204*0.75),"Избыток","Норма"))</x:f>
        <x:v>Избыток</x:v>
      </x:c>
    </x:row>
    <x:row r="205">
      <x:c r="A205" s="48" t="str">
        <x:v>UM-041</x:v>
      </x:c>
      <x:c r="B205" s="48" t="str">
        <x:v>Жилет трикотажный</x:v>
      </x:c>
      <x:c r="C205" s="48" t="str">
        <x:v>Трикотаж</x:v>
      </x:c>
      <x:c r="D205" s="48" t="str">
        <x:v>L</x:v>
      </x:c>
      <x:c r="E205" s="56" t="n">
        <x:v>5</x:v>
      </x:c>
      <x:c r="F205" s="60" t="n">
        <x:f>E205*1.5</x:f>
        <x:v>7.5</x:v>
      </x:c>
      <x:c r="G205" s="56" t="n">
        <x:v>19</x:v>
      </x:c>
      <x:c r="H205" s="60" t="n">
        <x:f>MAX(G205-F205,0)</x:f>
        <x:v>11.5</x:v>
      </x:c>
      <x:c r="I205" s="60" t="n">
        <x:f>MAX(F205-G205,0)</x:f>
        <x:v>0</x:v>
      </x:c>
      <x:c r="J205" s="56" t="n">
        <x:v>626.6597075183078</x:v>
      </x:c>
      <x:c r="K205" s="60" t="n">
        <x:f>H205*J205</x:f>
        <x:v>7206.586636460539</x:v>
      </x:c>
      <x:c r="L205" s="52" t="str">
        <x:f>IF(I205&gt;=MAX(2,E205*0.5),"Дефицит",IF(H205&gt;=MAX(3,E205*0.75),"Избыток","Норма"))</x:f>
        <x:v>Избыток</x:v>
      </x:c>
    </x:row>
    <x:row r="206">
      <x:c r="A206" s="48" t="str">
        <x:v>UM-041</x:v>
      </x:c>
      <x:c r="B206" s="48" t="str">
        <x:v>Жилет трикотажный</x:v>
      </x:c>
      <x:c r="C206" s="48" t="str">
        <x:v>Трикотаж</x:v>
      </x:c>
      <x:c r="D206" s="48" t="str">
        <x:v>XL</x:v>
      </x:c>
      <x:c r="E206" s="56" t="n">
        <x:v>2</x:v>
      </x:c>
      <x:c r="F206" s="60" t="n">
        <x:f>E206*1.5</x:f>
        <x:v>3</x:v>
      </x:c>
      <x:c r="G206" s="56" t="n">
        <x:v>16</x:v>
      </x:c>
      <x:c r="H206" s="60" t="n">
        <x:f>MAX(G206-F206,0)</x:f>
        <x:v>13</x:v>
      </x:c>
      <x:c r="I206" s="60" t="n">
        <x:f>MAX(F206-G206,0)</x:f>
        <x:v>0</x:v>
      </x:c>
      <x:c r="J206" s="56" t="n">
        <x:v>626.6597075183078</x:v>
      </x:c>
      <x:c r="K206" s="60" t="n">
        <x:f>H206*J206</x:f>
        <x:v>8146.576197738001</x:v>
      </x:c>
      <x:c r="L206" s="52" t="str">
        <x:f>IF(I206&gt;=MAX(2,E206*0.5),"Дефицит",IF(H206&gt;=MAX(3,E206*0.75),"Избыток","Норма"))</x:f>
        <x:v>Избыток</x:v>
      </x:c>
    </x:row>
    <x:row r="207">
      <x:c r="A207" s="48" t="str">
        <x:v>UM-042</x:v>
      </x:c>
      <x:c r="B207" s="48" t="str">
        <x:v>Лонгслив</x:v>
      </x:c>
      <x:c r="C207" s="48" t="str">
        <x:v>Трикотаж</x:v>
      </x:c>
      <x:c r="D207" s="48" t="str">
        <x:v>XS</x:v>
      </x:c>
      <x:c r="E207" s="56" t="n">
        <x:v>4</x:v>
      </x:c>
      <x:c r="F207" s="60" t="n">
        <x:f>E207*1.5</x:f>
        <x:v>6</x:v>
      </x:c>
      <x:c r="G207" s="56" t="n">
        <x:v>17</x:v>
      </x:c>
      <x:c r="H207" s="60" t="n">
        <x:f>MAX(G207-F207,0)</x:f>
        <x:v>11</x:v>
      </x:c>
      <x:c r="I207" s="60" t="n">
        <x:f>MAX(F207-G207,0)</x:f>
        <x:v>0</x:v>
      </x:c>
      <x:c r="J207" s="56" t="n">
        <x:v>846.6018850453379</x:v>
      </x:c>
      <x:c r="K207" s="60" t="n">
        <x:f>H207*J207</x:f>
        <x:v>9312.620735498716</x:v>
      </x:c>
      <x:c r="L207" s="52" t="str">
        <x:f>IF(I207&gt;=MAX(2,E207*0.5),"Дефицит",IF(H207&gt;=MAX(3,E207*0.75),"Избыток","Норма"))</x:f>
        <x:v>Избыток</x:v>
      </x:c>
    </x:row>
    <x:row r="208">
      <x:c r="A208" s="48" t="str">
        <x:v>UM-042</x:v>
      </x:c>
      <x:c r="B208" s="48" t="str">
        <x:v>Лонгслив</x:v>
      </x:c>
      <x:c r="C208" s="48" t="str">
        <x:v>Трикотаж</x:v>
      </x:c>
      <x:c r="D208" s="48" t="str">
        <x:v>S</x:v>
      </x:c>
      <x:c r="E208" s="56" t="n">
        <x:v>7</x:v>
      </x:c>
      <x:c r="F208" s="60" t="n">
        <x:f>E208*1.5</x:f>
        <x:v>10.5</x:v>
      </x:c>
      <x:c r="G208" s="56" t="n">
        <x:v>24</x:v>
      </x:c>
      <x:c r="H208" s="60" t="n">
        <x:f>MAX(G208-F208,0)</x:f>
        <x:v>13.5</x:v>
      </x:c>
      <x:c r="I208" s="60" t="n">
        <x:f>MAX(F208-G208,0)</x:f>
        <x:v>0</x:v>
      </x:c>
      <x:c r="J208" s="56" t="n">
        <x:v>846.6018850453379</x:v>
      </x:c>
      <x:c r="K208" s="60" t="n">
        <x:f>H208*J208</x:f>
        <x:v>11429.125448112061</x:v>
      </x:c>
      <x:c r="L208" s="52" t="str">
        <x:f>IF(I208&gt;=MAX(2,E208*0.5),"Дефицит",IF(H208&gt;=MAX(3,E208*0.75),"Избыток","Норма"))</x:f>
        <x:v>Избыток</x:v>
      </x:c>
    </x:row>
    <x:row r="209">
      <x:c r="A209" s="48" t="str">
        <x:v>UM-042</x:v>
      </x:c>
      <x:c r="B209" s="48" t="str">
        <x:v>Лонгслив</x:v>
      </x:c>
      <x:c r="C209" s="48" t="str">
        <x:v>Трикотаж</x:v>
      </x:c>
      <x:c r="D209" s="48" t="str">
        <x:v>M</x:v>
      </x:c>
      <x:c r="E209" s="56" t="n">
        <x:v>12</x:v>
      </x:c>
      <x:c r="F209" s="60" t="n">
        <x:f>E209*1.5</x:f>
        <x:v>18</x:v>
      </x:c>
      <x:c r="G209" s="56" t="n">
        <x:v>40</x:v>
      </x:c>
      <x:c r="H209" s="60" t="n">
        <x:f>MAX(G209-F209,0)</x:f>
        <x:v>22</x:v>
      </x:c>
      <x:c r="I209" s="60" t="n">
        <x:f>MAX(F209-G209,0)</x:f>
        <x:v>0</x:v>
      </x:c>
      <x:c r="J209" s="56" t="n">
        <x:v>846.6018850453379</x:v>
      </x:c>
      <x:c r="K209" s="60" t="n">
        <x:f>H209*J209</x:f>
        <x:v>18625.241470997433</x:v>
      </x:c>
      <x:c r="L209" s="52" t="str">
        <x:f>IF(I209&gt;=MAX(2,E209*0.5),"Дефицит",IF(H209&gt;=MAX(3,E209*0.75),"Избыток","Норма"))</x:f>
        <x:v>Избыток</x:v>
      </x:c>
    </x:row>
    <x:row r="210">
      <x:c r="A210" s="48" t="str">
        <x:v>UM-042</x:v>
      </x:c>
      <x:c r="B210" s="48" t="str">
        <x:v>Лонгслив</x:v>
      </x:c>
      <x:c r="C210" s="48" t="str">
        <x:v>Трикотаж</x:v>
      </x:c>
      <x:c r="D210" s="48" t="str">
        <x:v>L</x:v>
      </x:c>
      <x:c r="E210" s="56" t="n">
        <x:v>7</x:v>
      </x:c>
      <x:c r="F210" s="60" t="n">
        <x:f>E210*1.5</x:f>
        <x:v>10.5</x:v>
      </x:c>
      <x:c r="G210" s="56" t="n">
        <x:v>32</x:v>
      </x:c>
      <x:c r="H210" s="60" t="n">
        <x:f>MAX(G210-F210,0)</x:f>
        <x:v>21.5</x:v>
      </x:c>
      <x:c r="I210" s="60" t="n">
        <x:f>MAX(F210-G210,0)</x:f>
        <x:v>0</x:v>
      </x:c>
      <x:c r="J210" s="56" t="n">
        <x:v>846.6018850453379</x:v>
      </x:c>
      <x:c r="K210" s="60" t="n">
        <x:f>H210*J210</x:f>
        <x:v>18201.940528474766</x:v>
      </x:c>
      <x:c r="L210" s="52" t="str">
        <x:f>IF(I210&gt;=MAX(2,E210*0.5),"Дефицит",IF(H210&gt;=MAX(3,E210*0.75),"Избыток","Норма"))</x:f>
        <x:v>Избыток</x:v>
      </x:c>
    </x:row>
    <x:row r="211">
      <x:c r="A211" s="48" t="str">
        <x:v>UM-042</x:v>
      </x:c>
      <x:c r="B211" s="48" t="str">
        <x:v>Лонгслив</x:v>
      </x:c>
      <x:c r="C211" s="48" t="str">
        <x:v>Трикотаж</x:v>
      </x:c>
      <x:c r="D211" s="48" t="str">
        <x:v>XL</x:v>
      </x:c>
      <x:c r="E211" s="56" t="n">
        <x:v>3</x:v>
      </x:c>
      <x:c r="F211" s="60" t="n">
        <x:f>E211*1.5</x:f>
        <x:v>4.5</x:v>
      </x:c>
      <x:c r="G211" s="56" t="n">
        <x:v>28</x:v>
      </x:c>
      <x:c r="H211" s="60" t="n">
        <x:f>MAX(G211-F211,0)</x:f>
        <x:v>23.5</x:v>
      </x:c>
      <x:c r="I211" s="60" t="n">
        <x:f>MAX(F211-G211,0)</x:f>
        <x:v>0</x:v>
      </x:c>
      <x:c r="J211" s="56" t="n">
        <x:v>846.6018850453379</x:v>
      </x:c>
      <x:c r="K211" s="60" t="n">
        <x:f>H211*J211</x:f>
        <x:v>19895.14429856544</x:v>
      </x:c>
      <x:c r="L211" s="52" t="str">
        <x:f>IF(I211&gt;=MAX(2,E211*0.5),"Дефицит",IF(H211&gt;=MAX(3,E211*0.75),"Избыток","Норма"))</x:f>
        <x:v>Избыток</x:v>
      </x:c>
    </x:row>
    <x:row r="212">
      <x:c r="A212" s="48" t="str">
        <x:v>UM-043</x:v>
      </x:c>
      <x:c r="B212" s="48" t="str">
        <x:v>Пальто демисезонное</x:v>
      </x:c>
      <x:c r="C212" s="48" t="str">
        <x:v>Верхняя одежда</x:v>
      </x:c>
      <x:c r="D212" s="48" t="str">
        <x:v>XS</x:v>
      </x:c>
      <x:c r="E212" s="56" t="n">
        <x:v>3</x:v>
      </x:c>
      <x:c r="F212" s="60" t="n">
        <x:f>E212*1.5</x:f>
        <x:v>4.5</x:v>
      </x:c>
      <x:c r="G212" s="56" t="n">
        <x:v>4</x:v>
      </x:c>
      <x:c r="H212" s="60" t="n">
        <x:f>MAX(G212-F212,0)</x:f>
        <x:v>0</x:v>
      </x:c>
      <x:c r="I212" s="60" t="n">
        <x:f>MAX(F212-G212,0)</x:f>
        <x:v>0.5</x:v>
      </x:c>
      <x:c r="J212" s="56" t="n">
        <x:v>2454.5966514390607</x:v>
      </x:c>
      <x:c r="K212" s="60" t="n">
        <x:f>H212*J212</x:f>
        <x:v>0</x:v>
      </x:c>
      <x:c r="L212" s="52" t="str">
        <x:f>IF(I212&gt;=MAX(2,E212*0.5),"Дефицит",IF(H212&gt;=MAX(3,E212*0.75),"Избыток","Норма"))</x:f>
        <x:v>Норма</x:v>
      </x:c>
    </x:row>
    <x:row r="213">
      <x:c r="A213" s="48" t="str">
        <x:v>UM-043</x:v>
      </x:c>
      <x:c r="B213" s="48" t="str">
        <x:v>Пальто демисезонное</x:v>
      </x:c>
      <x:c r="C213" s="48" t="str">
        <x:v>Верхняя одежда</x:v>
      </x:c>
      <x:c r="D213" s="48" t="str">
        <x:v>S</x:v>
      </x:c>
      <x:c r="E213" s="56" t="n">
        <x:v>5</x:v>
      </x:c>
      <x:c r="F213" s="60" t="n">
        <x:f>E213*1.5</x:f>
        <x:v>7.5</x:v>
      </x:c>
      <x:c r="G213" s="56" t="n">
        <x:v>15</x:v>
      </x:c>
      <x:c r="H213" s="60" t="n">
        <x:f>MAX(G213-F213,0)</x:f>
        <x:v>7.5</x:v>
      </x:c>
      <x:c r="I213" s="60" t="n">
        <x:f>MAX(F213-G213,0)</x:f>
        <x:v>0</x:v>
      </x:c>
      <x:c r="J213" s="56" t="n">
        <x:v>2454.5966514390607</x:v>
      </x:c>
      <x:c r="K213" s="60" t="n">
        <x:f>H213*J213</x:f>
        <x:v>18409.474885792955</x:v>
      </x:c>
      <x:c r="L213" s="52" t="str">
        <x:f>IF(I213&gt;=MAX(2,E213*0.5),"Дефицит",IF(H213&gt;=MAX(3,E213*0.75),"Избыток","Норма"))</x:f>
        <x:v>Избыток</x:v>
      </x:c>
    </x:row>
    <x:row r="214">
      <x:c r="A214" s="48" t="str">
        <x:v>UM-043</x:v>
      </x:c>
      <x:c r="B214" s="48" t="str">
        <x:v>Пальто демисезонное</x:v>
      </x:c>
      <x:c r="C214" s="48" t="str">
        <x:v>Верхняя одежда</x:v>
      </x:c>
      <x:c r="D214" s="48" t="str">
        <x:v>M</x:v>
      </x:c>
      <x:c r="E214" s="56" t="n">
        <x:v>8</x:v>
      </x:c>
      <x:c r="F214" s="60" t="n">
        <x:f>E214*1.5</x:f>
        <x:v>12</x:v>
      </x:c>
      <x:c r="G214" s="56" t="n">
        <x:v>15</x:v>
      </x:c>
      <x:c r="H214" s="60" t="n">
        <x:f>MAX(G214-F214,0)</x:f>
        <x:v>3</x:v>
      </x:c>
      <x:c r="I214" s="60" t="n">
        <x:f>MAX(F214-G214,0)</x:f>
        <x:v>0</x:v>
      </x:c>
      <x:c r="J214" s="56" t="n">
        <x:v>2454.5966514390607</x:v>
      </x:c>
      <x:c r="K214" s="60" t="n">
        <x:f>H214*J214</x:f>
        <x:v>7363.7899543171825</x:v>
      </x:c>
      <x:c r="L214" s="52" t="str">
        <x:f>IF(I214&gt;=MAX(2,E214*0.5),"Дефицит",IF(H214&gt;=MAX(3,E214*0.75),"Избыток","Норма"))</x:f>
        <x:v>Норма</x:v>
      </x:c>
    </x:row>
    <x:row r="215">
      <x:c r="A215" s="48" t="str">
        <x:v>UM-043</x:v>
      </x:c>
      <x:c r="B215" s="48" t="str">
        <x:v>Пальто демисезонное</x:v>
      </x:c>
      <x:c r="C215" s="48" t="str">
        <x:v>Верхняя одежда</x:v>
      </x:c>
      <x:c r="D215" s="48" t="str">
        <x:v>L</x:v>
      </x:c>
      <x:c r="E215" s="56" t="n">
        <x:v>6</x:v>
      </x:c>
      <x:c r="F215" s="60" t="n">
        <x:f>E215*1.5</x:f>
        <x:v>9</x:v>
      </x:c>
      <x:c r="G215" s="56" t="n">
        <x:v>9</x:v>
      </x:c>
      <x:c r="H215" s="60" t="n">
        <x:f>MAX(G215-F215,0)</x:f>
        <x:v>0</x:v>
      </x:c>
      <x:c r="I215" s="60" t="n">
        <x:f>MAX(F215-G215,0)</x:f>
        <x:v>0</x:v>
      </x:c>
      <x:c r="J215" s="56" t="n">
        <x:v>2454.5966514390607</x:v>
      </x:c>
      <x:c r="K215" s="60" t="n">
        <x:f>H215*J215</x:f>
        <x:v>0</x:v>
      </x:c>
      <x:c r="L215" s="52" t="str">
        <x:f>IF(I215&gt;=MAX(2,E215*0.5),"Дефицит",IF(H215&gt;=MAX(3,E215*0.75),"Избыток","Норма"))</x:f>
        <x:v>Норма</x:v>
      </x:c>
    </x:row>
    <x:row r="216">
      <x:c r="A216" s="48" t="str">
        <x:v>UM-043</x:v>
      </x:c>
      <x:c r="B216" s="48" t="str">
        <x:v>Пальто демисезонное</x:v>
      </x:c>
      <x:c r="C216" s="48" t="str">
        <x:v>Верхняя одежда</x:v>
      </x:c>
      <x:c r="D216" s="48" t="str">
        <x:v>XL</x:v>
      </x:c>
      <x:c r="E216" s="56" t="n">
        <x:v>2</x:v>
      </x:c>
      <x:c r="F216" s="60" t="n">
        <x:f>E216*1.5</x:f>
        <x:v>3</x:v>
      </x:c>
      <x:c r="G216" s="56" t="n">
        <x:v>2</x:v>
      </x:c>
      <x:c r="H216" s="60" t="n">
        <x:f>MAX(G216-F216,0)</x:f>
        <x:v>0</x:v>
      </x:c>
      <x:c r="I216" s="60" t="n">
        <x:f>MAX(F216-G216,0)</x:f>
        <x:v>1</x:v>
      </x:c>
      <x:c r="J216" s="56" t="n">
        <x:v>2454.5966514390607</x:v>
      </x:c>
      <x:c r="K216" s="60" t="n">
        <x:f>H216*J216</x:f>
        <x:v>0</x:v>
      </x:c>
      <x:c r="L216" s="52" t="str">
        <x:f>IF(I216&gt;=MAX(2,E216*0.5),"Дефицит",IF(H216&gt;=MAX(3,E216*0.75),"Избыток","Норма"))</x:f>
        <x:v>Норма</x:v>
      </x:c>
    </x:row>
    <x:row r="217">
      <x:c r="A217" s="48" t="str">
        <x:v>UM-044</x:v>
      </x:c>
      <x:c r="B217" s="48" t="str">
        <x:v>Куртка стёганая</x:v>
      </x:c>
      <x:c r="C217" s="48" t="str">
        <x:v>Верхняя одежда</x:v>
      </x:c>
      <x:c r="D217" s="48" t="str">
        <x:v>XS</x:v>
      </x:c>
      <x:c r="E217" s="56" t="n">
        <x:v>2</x:v>
      </x:c>
      <x:c r="F217" s="60" t="n">
        <x:f>E217*1.5</x:f>
        <x:v>3</x:v>
      </x:c>
      <x:c r="G217" s="56" t="n">
        <x:v>4</x:v>
      </x:c>
      <x:c r="H217" s="60" t="n">
        <x:f>MAX(G217-F217,0)</x:f>
        <x:v>1</x:v>
      </x:c>
      <x:c r="I217" s="60" t="n">
        <x:f>MAX(F217-G217,0)</x:f>
        <x:v>0</x:v>
      </x:c>
      <x:c r="J217" s="56" t="n">
        <x:v>1758.0457454411037</x:v>
      </x:c>
      <x:c r="K217" s="60" t="n">
        <x:f>H217*J217</x:f>
        <x:v>1758.0457454411037</x:v>
      </x:c>
      <x:c r="L217" s="52" t="str">
        <x:f>IF(I217&gt;=MAX(2,E217*0.5),"Дефицит",IF(H217&gt;=MAX(3,E217*0.75),"Избыток","Норма"))</x:f>
        <x:v>Норма</x:v>
      </x:c>
    </x:row>
    <x:row r="218">
      <x:c r="A218" s="48" t="str">
        <x:v>UM-044</x:v>
      </x:c>
      <x:c r="B218" s="48" t="str">
        <x:v>Куртка стёганая</x:v>
      </x:c>
      <x:c r="C218" s="48" t="str">
        <x:v>Верхняя одежда</x:v>
      </x:c>
      <x:c r="D218" s="48" t="str">
        <x:v>S</x:v>
      </x:c>
      <x:c r="E218" s="56" t="n">
        <x:v>4</x:v>
      </x:c>
      <x:c r="F218" s="60" t="n">
        <x:f>E218*1.5</x:f>
        <x:v>6</x:v>
      </x:c>
      <x:c r="G218" s="56" t="n">
        <x:v>4</x:v>
      </x:c>
      <x:c r="H218" s="60" t="n">
        <x:f>MAX(G218-F218,0)</x:f>
        <x:v>0</x:v>
      </x:c>
      <x:c r="I218" s="60" t="n">
        <x:f>MAX(F218-G218,0)</x:f>
        <x:v>2</x:v>
      </x:c>
      <x:c r="J218" s="56" t="n">
        <x:v>1758.0457454411037</x:v>
      </x:c>
      <x:c r="K218" s="60" t="n">
        <x:f>H218*J218</x:f>
        <x:v>0</x:v>
      </x:c>
      <x:c r="L218" s="52" t="str">
        <x:f>IF(I218&gt;=MAX(2,E218*0.5),"Дефицит",IF(H218&gt;=MAX(3,E218*0.75),"Избыток","Норма"))</x:f>
        <x:v>Дефицит</x:v>
      </x:c>
    </x:row>
    <x:row r="219">
      <x:c r="A219" s="48" t="str">
        <x:v>UM-044</x:v>
      </x:c>
      <x:c r="B219" s="48" t="str">
        <x:v>Куртка стёганая</x:v>
      </x:c>
      <x:c r="C219" s="48" t="str">
        <x:v>Верхняя одежда</x:v>
      </x:c>
      <x:c r="D219" s="48" t="str">
        <x:v>M</x:v>
      </x:c>
      <x:c r="E219" s="56" t="n">
        <x:v>4</x:v>
      </x:c>
      <x:c r="F219" s="60" t="n">
        <x:f>E219*1.5</x:f>
        <x:v>6</x:v>
      </x:c>
      <x:c r="G219" s="56" t="n">
        <x:v>12</x:v>
      </x:c>
      <x:c r="H219" s="60" t="n">
        <x:f>MAX(G219-F219,0)</x:f>
        <x:v>6</x:v>
      </x:c>
      <x:c r="I219" s="60" t="n">
        <x:f>MAX(F219-G219,0)</x:f>
        <x:v>0</x:v>
      </x:c>
      <x:c r="J219" s="56" t="n">
        <x:v>1758.0457454411037</x:v>
      </x:c>
      <x:c r="K219" s="60" t="n">
        <x:f>H219*J219</x:f>
        <x:v>10548.274472646623</x:v>
      </x:c>
      <x:c r="L219" s="52" t="str">
        <x:f>IF(I219&gt;=MAX(2,E219*0.5),"Дефицит",IF(H219&gt;=MAX(3,E219*0.75),"Избыток","Норма"))</x:f>
        <x:v>Избыток</x:v>
      </x:c>
    </x:row>
    <x:row r="220">
      <x:c r="A220" s="48" t="str">
        <x:v>UM-044</x:v>
      </x:c>
      <x:c r="B220" s="48" t="str">
        <x:v>Куртка стёганая</x:v>
      </x:c>
      <x:c r="C220" s="48" t="str">
        <x:v>Верхняя одежда</x:v>
      </x:c>
      <x:c r="D220" s="48" t="str">
        <x:v>L</x:v>
      </x:c>
      <x:c r="E220" s="56" t="n">
        <x:v>4</x:v>
      </x:c>
      <x:c r="F220" s="60" t="n">
        <x:f>E220*1.5</x:f>
        <x:v>6</x:v>
      </x:c>
      <x:c r="G220" s="56" t="n">
        <x:v>4</x:v>
      </x:c>
      <x:c r="H220" s="60" t="n">
        <x:f>MAX(G220-F220,0)</x:f>
        <x:v>0</x:v>
      </x:c>
      <x:c r="I220" s="60" t="n">
        <x:f>MAX(F220-G220,0)</x:f>
        <x:v>2</x:v>
      </x:c>
      <x:c r="J220" s="56" t="n">
        <x:v>1758.0457454411037</x:v>
      </x:c>
      <x:c r="K220" s="60" t="n">
        <x:f>H220*J220</x:f>
        <x:v>0</x:v>
      </x:c>
      <x:c r="L220" s="52" t="str">
        <x:f>IF(I220&gt;=MAX(2,E220*0.5),"Дефицит",IF(H220&gt;=MAX(3,E220*0.75),"Избыток","Норма"))</x:f>
        <x:v>Дефицит</x:v>
      </x:c>
    </x:row>
    <x:row r="221">
      <x:c r="A221" s="48" t="str">
        <x:v>UM-044</x:v>
      </x:c>
      <x:c r="B221" s="48" t="str">
        <x:v>Куртка стёганая</x:v>
      </x:c>
      <x:c r="C221" s="48" t="str">
        <x:v>Верхняя одежда</x:v>
      </x:c>
      <x:c r="D221" s="48" t="str">
        <x:v>XL</x:v>
      </x:c>
      <x:c r="E221" s="56" t="n">
        <x:v>2</x:v>
      </x:c>
      <x:c r="F221" s="60" t="n">
        <x:f>E221*1.5</x:f>
        <x:v>3</x:v>
      </x:c>
      <x:c r="G221" s="56" t="n">
        <x:v>3</x:v>
      </x:c>
      <x:c r="H221" s="60" t="n">
        <x:f>MAX(G221-F221,0)</x:f>
        <x:v>0</x:v>
      </x:c>
      <x:c r="I221" s="60" t="n">
        <x:f>MAX(F221-G221,0)</x:f>
        <x:v>0</x:v>
      </x:c>
      <x:c r="J221" s="56" t="n">
        <x:v>1758.0457454411037</x:v>
      </x:c>
      <x:c r="K221" s="60" t="n">
        <x:f>H221*J221</x:f>
        <x:v>0</x:v>
      </x:c>
      <x:c r="L221" s="52" t="str">
        <x:f>IF(I221&gt;=MAX(2,E221*0.5),"Дефицит",IF(H221&gt;=MAX(3,E221*0.75),"Избыток","Норма"))</x:f>
        <x:v>Норма</x:v>
      </x:c>
    </x:row>
    <x:row r="222">
      <x:c r="A222" s="48" t="str">
        <x:v>UM-045</x:v>
      </x:c>
      <x:c r="B222" s="48" t="str">
        <x:v>Тренч</x:v>
      </x:c>
      <x:c r="C222" s="48" t="str">
        <x:v>Верхняя одежда</x:v>
      </x:c>
      <x:c r="D222" s="48" t="str">
        <x:v>XS</x:v>
      </x:c>
      <x:c r="E222" s="56" t="n">
        <x:v>0</x:v>
      </x:c>
      <x:c r="F222" s="60" t="n">
        <x:f>E222*1.5</x:f>
        <x:v>0</x:v>
      </x:c>
      <x:c r="G222" s="56" t="n">
        <x:v>6</x:v>
      </x:c>
      <x:c r="H222" s="60" t="n">
        <x:f>MAX(G222-F222,0)</x:f>
        <x:v>6</x:v>
      </x:c>
      <x:c r="I222" s="60" t="n">
        <x:f>MAX(F222-G222,0)</x:f>
        <x:v>0</x:v>
      </x:c>
      <x:c r="J222" s="56" t="n">
        <x:v>2109.6643821167286</x:v>
      </x:c>
      <x:c r="K222" s="60" t="n">
        <x:f>H222*J222</x:f>
        <x:v>12657.98629270037</x:v>
      </x:c>
      <x:c r="L222" s="52" t="str">
        <x:f>IF(I222&gt;=MAX(2,E222*0.5),"Дефицит",IF(H222&gt;=MAX(3,E222*0.75),"Избыток","Норма"))</x:f>
        <x:v>Избыток</x:v>
      </x:c>
    </x:row>
    <x:row r="223">
      <x:c r="A223" s="48" t="str">
        <x:v>UM-045</x:v>
      </x:c>
      <x:c r="B223" s="48" t="str">
        <x:v>Тренч</x:v>
      </x:c>
      <x:c r="C223" s="48" t="str">
        <x:v>Верхняя одежда</x:v>
      </x:c>
      <x:c r="D223" s="48" t="str">
        <x:v>S</x:v>
      </x:c>
      <x:c r="E223" s="56" t="n">
        <x:v>2</x:v>
      </x:c>
      <x:c r="F223" s="60" t="n">
        <x:f>E223*1.5</x:f>
        <x:v>3</x:v>
      </x:c>
      <x:c r="G223" s="56" t="n">
        <x:v>9</x:v>
      </x:c>
      <x:c r="H223" s="60" t="n">
        <x:f>MAX(G223-F223,0)</x:f>
        <x:v>6</x:v>
      </x:c>
      <x:c r="I223" s="60" t="n">
        <x:f>MAX(F223-G223,0)</x:f>
        <x:v>0</x:v>
      </x:c>
      <x:c r="J223" s="56" t="n">
        <x:v>2109.6643821167286</x:v>
      </x:c>
      <x:c r="K223" s="60" t="n">
        <x:f>H223*J223</x:f>
        <x:v>12657.98629270037</x:v>
      </x:c>
      <x:c r="L223" s="52" t="str">
        <x:f>IF(I223&gt;=MAX(2,E223*0.5),"Дефицит",IF(H223&gt;=MAX(3,E223*0.75),"Избыток","Норма"))</x:f>
        <x:v>Избыток</x:v>
      </x:c>
    </x:row>
    <x:row r="224">
      <x:c r="A224" s="48" t="str">
        <x:v>UM-045</x:v>
      </x:c>
      <x:c r="B224" s="48" t="str">
        <x:v>Тренч</x:v>
      </x:c>
      <x:c r="C224" s="48" t="str">
        <x:v>Верхняя одежда</x:v>
      </x:c>
      <x:c r="D224" s="48" t="str">
        <x:v>M</x:v>
      </x:c>
      <x:c r="E224" s="56" t="n">
        <x:v>2</x:v>
      </x:c>
      <x:c r="F224" s="60" t="n">
        <x:f>E224*1.5</x:f>
        <x:v>3</x:v>
      </x:c>
      <x:c r="G224" s="56" t="n">
        <x:v>6</x:v>
      </x:c>
      <x:c r="H224" s="60" t="n">
        <x:f>MAX(G224-F224,0)</x:f>
        <x:v>3</x:v>
      </x:c>
      <x:c r="I224" s="60" t="n">
        <x:f>MAX(F224-G224,0)</x:f>
        <x:v>0</x:v>
      </x:c>
      <x:c r="J224" s="56" t="n">
        <x:v>2109.6643821167286</x:v>
      </x:c>
      <x:c r="K224" s="60" t="n">
        <x:f>H224*J224</x:f>
        <x:v>6328.993146350185</x:v>
      </x:c>
      <x:c r="L224" s="52" t="str">
        <x:f>IF(I224&gt;=MAX(2,E224*0.5),"Дефицит",IF(H224&gt;=MAX(3,E224*0.75),"Избыток","Норма"))</x:f>
        <x:v>Избыток</x:v>
      </x:c>
    </x:row>
    <x:row r="225">
      <x:c r="A225" s="48" t="str">
        <x:v>UM-045</x:v>
      </x:c>
      <x:c r="B225" s="48" t="str">
        <x:v>Тренч</x:v>
      </x:c>
      <x:c r="C225" s="48" t="str">
        <x:v>Верхняя одежда</x:v>
      </x:c>
      <x:c r="D225" s="48" t="str">
        <x:v>L</x:v>
      </x:c>
      <x:c r="E225" s="56" t="n">
        <x:v>4</x:v>
      </x:c>
      <x:c r="F225" s="60" t="n">
        <x:f>E225*1.5</x:f>
        <x:v>6</x:v>
      </x:c>
      <x:c r="G225" s="56" t="n">
        <x:v>7</x:v>
      </x:c>
      <x:c r="H225" s="60" t="n">
        <x:f>MAX(G225-F225,0)</x:f>
        <x:v>1</x:v>
      </x:c>
      <x:c r="I225" s="60" t="n">
        <x:f>MAX(F225-G225,0)</x:f>
        <x:v>0</x:v>
      </x:c>
      <x:c r="J225" s="56" t="n">
        <x:v>2109.6643821167286</x:v>
      </x:c>
      <x:c r="K225" s="60" t="n">
        <x:f>H225*J225</x:f>
        <x:v>2109.6643821167286</x:v>
      </x:c>
      <x:c r="L225" s="52" t="str">
        <x:f>IF(I225&gt;=MAX(2,E225*0.5),"Дефицит",IF(H225&gt;=MAX(3,E225*0.75),"Избыток","Норма"))</x:f>
        <x:v>Норма</x:v>
      </x:c>
    </x:row>
    <x:row r="226">
      <x:c r="A226" s="48" t="str">
        <x:v>UM-045</x:v>
      </x:c>
      <x:c r="B226" s="48" t="str">
        <x:v>Тренч</x:v>
      </x:c>
      <x:c r="C226" s="48" t="str">
        <x:v>Верхняя одежда</x:v>
      </x:c>
      <x:c r="D226" s="48" t="str">
        <x:v>XL</x:v>
      </x:c>
      <x:c r="E226" s="56" t="n">
        <x:v>0</x:v>
      </x:c>
      <x:c r="F226" s="60" t="n">
        <x:f>E226*1.5</x:f>
        <x:v>0</x:v>
      </x:c>
      <x:c r="G226" s="56" t="n">
        <x:v>8</x:v>
      </x:c>
      <x:c r="H226" s="60" t="n">
        <x:f>MAX(G226-F226,0)</x:f>
        <x:v>8</x:v>
      </x:c>
      <x:c r="I226" s="60" t="n">
        <x:f>MAX(F226-G226,0)</x:f>
        <x:v>0</x:v>
      </x:c>
      <x:c r="J226" s="56" t="n">
        <x:v>2109.6643821167286</x:v>
      </x:c>
      <x:c r="K226" s="60" t="n">
        <x:f>H226*J226</x:f>
        <x:v>16877.31505693383</x:v>
      </x:c>
      <x:c r="L226" s="52" t="str">
        <x:f>IF(I226&gt;=MAX(2,E226*0.5),"Дефицит",IF(H226&gt;=MAX(3,E226*0.75),"Избыток","Норма"))</x:f>
        <x:v>Избыток</x:v>
      </x:c>
    </x:row>
    <x:row r="227">
      <x:c r="A227" s="48" t="str">
        <x:v>UM-046</x:v>
      </x:c>
      <x:c r="B227" s="48" t="str">
        <x:v>Экопуховик</x:v>
      </x:c>
      <x:c r="C227" s="48" t="str">
        <x:v>Верхняя одежда</x:v>
      </x:c>
      <x:c r="D227" s="48" t="str">
        <x:v>XS</x:v>
      </x:c>
      <x:c r="E227" s="56" t="n">
        <x:v>2</x:v>
      </x:c>
      <x:c r="F227" s="60" t="n">
        <x:f>E227*1.5</x:f>
        <x:v>3</x:v>
      </x:c>
      <x:c r="G227" s="56" t="n">
        <x:v>0</x:v>
      </x:c>
      <x:c r="H227" s="60" t="n">
        <x:f>MAX(G227-F227,0)</x:f>
        <x:v>0</x:v>
      </x:c>
      <x:c r="I227" s="60" t="n">
        <x:f>MAX(F227-G227,0)</x:f>
        <x:v>3</x:v>
      </x:c>
      <x:c r="J227" s="56" t="n">
        <x:v>2008.0484482918666</x:v>
      </x:c>
      <x:c r="K227" s="60" t="n">
        <x:f>H227*J227</x:f>
        <x:v>0</x:v>
      </x:c>
      <x:c r="L227" s="52" t="str">
        <x:f>IF(I227&gt;=MAX(2,E227*0.5),"Дефицит",IF(H227&gt;=MAX(3,E227*0.75),"Избыток","Норма"))</x:f>
        <x:v>Дефицит</x:v>
      </x:c>
    </x:row>
    <x:row r="228">
      <x:c r="A228" s="48" t="str">
        <x:v>UM-046</x:v>
      </x:c>
      <x:c r="B228" s="48" t="str">
        <x:v>Экопуховик</x:v>
      </x:c>
      <x:c r="C228" s="48" t="str">
        <x:v>Верхняя одежда</x:v>
      </x:c>
      <x:c r="D228" s="48" t="str">
        <x:v>S</x:v>
      </x:c>
      <x:c r="E228" s="56" t="n">
        <x:v>1</x:v>
      </x:c>
      <x:c r="F228" s="60" t="n">
        <x:f>E228*1.5</x:f>
        <x:v>1.5</x:v>
      </x:c>
      <x:c r="G228" s="56" t="n">
        <x:v>2</x:v>
      </x:c>
      <x:c r="H228" s="60" t="n">
        <x:f>MAX(G228-F228,0)</x:f>
        <x:v>0.5</x:v>
      </x:c>
      <x:c r="I228" s="60" t="n">
        <x:f>MAX(F228-G228,0)</x:f>
        <x:v>0</x:v>
      </x:c>
      <x:c r="J228" s="56" t="n">
        <x:v>2008.0484482918666</x:v>
      </x:c>
      <x:c r="K228" s="60" t="n">
        <x:f>H228*J228</x:f>
        <x:v>1004.0242241459333</x:v>
      </x:c>
      <x:c r="L228" s="52" t="str">
        <x:f>IF(I228&gt;=MAX(2,E228*0.5),"Дефицит",IF(H228&gt;=MAX(3,E228*0.75),"Избыток","Норма"))</x:f>
        <x:v>Норма</x:v>
      </x:c>
    </x:row>
    <x:row r="229">
      <x:c r="A229" s="48" t="str">
        <x:v>UM-046</x:v>
      </x:c>
      <x:c r="B229" s="48" t="str">
        <x:v>Экопуховик</x:v>
      </x:c>
      <x:c r="C229" s="48" t="str">
        <x:v>Верхняя одежда</x:v>
      </x:c>
      <x:c r="D229" s="48" t="str">
        <x:v>M</x:v>
      </x:c>
      <x:c r="E229" s="56" t="n">
        <x:v>3</x:v>
      </x:c>
      <x:c r="F229" s="60" t="n">
        <x:f>E229*1.5</x:f>
        <x:v>4.5</x:v>
      </x:c>
      <x:c r="G229" s="56" t="n">
        <x:v>4</x:v>
      </x:c>
      <x:c r="H229" s="60" t="n">
        <x:f>MAX(G229-F229,0)</x:f>
        <x:v>0</x:v>
      </x:c>
      <x:c r="I229" s="60" t="n">
        <x:f>MAX(F229-G229,0)</x:f>
        <x:v>0.5</x:v>
      </x:c>
      <x:c r="J229" s="56" t="n">
        <x:v>2008.0484482918666</x:v>
      </x:c>
      <x:c r="K229" s="60" t="n">
        <x:f>H229*J229</x:f>
        <x:v>0</x:v>
      </x:c>
      <x:c r="L229" s="52" t="str">
        <x:f>IF(I229&gt;=MAX(2,E229*0.5),"Дефицит",IF(H229&gt;=MAX(3,E229*0.75),"Избыток","Норма"))</x:f>
        <x:v>Норма</x:v>
      </x:c>
    </x:row>
    <x:row r="230">
      <x:c r="A230" s="48" t="str">
        <x:v>UM-046</x:v>
      </x:c>
      <x:c r="B230" s="48" t="str">
        <x:v>Экопуховик</x:v>
      </x:c>
      <x:c r="C230" s="48" t="str">
        <x:v>Верхняя одежда</x:v>
      </x:c>
      <x:c r="D230" s="48" t="str">
        <x:v>L</x:v>
      </x:c>
      <x:c r="E230" s="56" t="n">
        <x:v>2</x:v>
      </x:c>
      <x:c r="F230" s="60" t="n">
        <x:f>E230*1.5</x:f>
        <x:v>3</x:v>
      </x:c>
      <x:c r="G230" s="56" t="n">
        <x:v>3</x:v>
      </x:c>
      <x:c r="H230" s="60" t="n">
        <x:f>MAX(G230-F230,0)</x:f>
        <x:v>0</x:v>
      </x:c>
      <x:c r="I230" s="60" t="n">
        <x:f>MAX(F230-G230,0)</x:f>
        <x:v>0</x:v>
      </x:c>
      <x:c r="J230" s="56" t="n">
        <x:v>2008.0484482918666</x:v>
      </x:c>
      <x:c r="K230" s="60" t="n">
        <x:f>H230*J230</x:f>
        <x:v>0</x:v>
      </x:c>
      <x:c r="L230" s="52" t="str">
        <x:f>IF(I230&gt;=MAX(2,E230*0.5),"Дефицит",IF(H230&gt;=MAX(3,E230*0.75),"Избыток","Норма"))</x:f>
        <x:v>Норма</x:v>
      </x:c>
    </x:row>
    <x:row r="231">
      <x:c r="A231" s="48" t="str">
        <x:v>UM-046</x:v>
      </x:c>
      <x:c r="B231" s="48" t="str">
        <x:v>Экопуховик</x:v>
      </x:c>
      <x:c r="C231" s="48" t="str">
        <x:v>Верхняя одежда</x:v>
      </x:c>
      <x:c r="D231" s="48" t="str">
        <x:v>XL</x:v>
      </x:c>
      <x:c r="E231" s="56" t="n">
        <x:v>0</x:v>
      </x:c>
      <x:c r="F231" s="60" t="n">
        <x:f>E231*1.5</x:f>
        <x:v>0</x:v>
      </x:c>
      <x:c r="G231" s="56" t="n">
        <x:v>1</x:v>
      </x:c>
      <x:c r="H231" s="60" t="n">
        <x:f>MAX(G231-F231,0)</x:f>
        <x:v>1</x:v>
      </x:c>
      <x:c r="I231" s="60" t="n">
        <x:f>MAX(F231-G231,0)</x:f>
        <x:v>0</x:v>
      </x:c>
      <x:c r="J231" s="56" t="n">
        <x:v>2008.0484482918666</x:v>
      </x:c>
      <x:c r="K231" s="60" t="n">
        <x:f>H231*J231</x:f>
        <x:v>2008.0484482918666</x:v>
      </x:c>
      <x:c r="L231" s="52" t="str">
        <x:f>IF(I231&gt;=MAX(2,E231*0.5),"Дефицит",IF(H231&gt;=MAX(3,E231*0.75),"Избыток","Норма"))</x:f>
        <x:v>Норма</x:v>
      </x:c>
    </x:row>
    <x:row r="232">
      <x:c r="A232" s="48" t="str">
        <x:v>UM-047</x:v>
      </x:c>
      <x:c r="B232" s="48" t="str">
        <x:v>Косуха</x:v>
      </x:c>
      <x:c r="C232" s="48" t="str">
        <x:v>Верхняя одежда</x:v>
      </x:c>
      <x:c r="D232" s="48" t="str">
        <x:v>XS</x:v>
      </x:c>
      <x:c r="E232" s="56" t="n">
        <x:v>1</x:v>
      </x:c>
      <x:c r="F232" s="60" t="n">
        <x:f>E232*1.5</x:f>
        <x:v>1.5</x:v>
      </x:c>
      <x:c r="G232" s="56" t="n">
        <x:v>4</x:v>
      </x:c>
      <x:c r="H232" s="60" t="n">
        <x:f>MAX(G232-F232,0)</x:f>
        <x:v>2.5</x:v>
      </x:c>
      <x:c r="I232" s="60" t="n">
        <x:f>MAX(F232-G232,0)</x:f>
        <x:v>0</x:v>
      </x:c>
      <x:c r="J232" s="56" t="n">
        <x:v>2511.6203273587635</x:v>
      </x:c>
      <x:c r="K232" s="60" t="n">
        <x:f>H232*J232</x:f>
        <x:v>6279.050818396909</x:v>
      </x:c>
      <x:c r="L232" s="52" t="str">
        <x:f>IF(I232&gt;=MAX(2,E232*0.5),"Дефицит",IF(H232&gt;=MAX(3,E232*0.75),"Избыток","Норма"))</x:f>
        <x:v>Норма</x:v>
      </x:c>
    </x:row>
    <x:row r="233">
      <x:c r="A233" s="48" t="str">
        <x:v>UM-047</x:v>
      </x:c>
      <x:c r="B233" s="48" t="str">
        <x:v>Косуха</x:v>
      </x:c>
      <x:c r="C233" s="48" t="str">
        <x:v>Верхняя одежда</x:v>
      </x:c>
      <x:c r="D233" s="48" t="str">
        <x:v>S</x:v>
      </x:c>
      <x:c r="E233" s="56" t="n">
        <x:v>1</x:v>
      </x:c>
      <x:c r="F233" s="60" t="n">
        <x:f>E233*1.5</x:f>
        <x:v>1.5</x:v>
      </x:c>
      <x:c r="G233" s="56" t="n">
        <x:v>5</x:v>
      </x:c>
      <x:c r="H233" s="60" t="n">
        <x:f>MAX(G233-F233,0)</x:f>
        <x:v>3.5</x:v>
      </x:c>
      <x:c r="I233" s="60" t="n">
        <x:f>MAX(F233-G233,0)</x:f>
        <x:v>0</x:v>
      </x:c>
      <x:c r="J233" s="56" t="n">
        <x:v>2511.6203273587635</x:v>
      </x:c>
      <x:c r="K233" s="60" t="n">
        <x:f>H233*J233</x:f>
        <x:v>8790.671145755672</x:v>
      </x:c>
      <x:c r="L233" s="52" t="str">
        <x:f>IF(I233&gt;=MAX(2,E233*0.5),"Дефицит",IF(H233&gt;=MAX(3,E233*0.75),"Избыток","Норма"))</x:f>
        <x:v>Избыток</x:v>
      </x:c>
    </x:row>
    <x:row r="234">
      <x:c r="A234" s="48" t="str">
        <x:v>UM-047</x:v>
      </x:c>
      <x:c r="B234" s="48" t="str">
        <x:v>Косуха</x:v>
      </x:c>
      <x:c r="C234" s="48" t="str">
        <x:v>Верхняя одежда</x:v>
      </x:c>
      <x:c r="D234" s="48" t="str">
        <x:v>M</x:v>
      </x:c>
      <x:c r="E234" s="56" t="n">
        <x:v>2</x:v>
      </x:c>
      <x:c r="F234" s="60" t="n">
        <x:f>E234*1.5</x:f>
        <x:v>3</x:v>
      </x:c>
      <x:c r="G234" s="56" t="n">
        <x:v>1</x:v>
      </x:c>
      <x:c r="H234" s="60" t="n">
        <x:f>MAX(G234-F234,0)</x:f>
        <x:v>0</x:v>
      </x:c>
      <x:c r="I234" s="60" t="n">
        <x:f>MAX(F234-G234,0)</x:f>
        <x:v>2</x:v>
      </x:c>
      <x:c r="J234" s="56" t="n">
        <x:v>2511.6203273587635</x:v>
      </x:c>
      <x:c r="K234" s="60" t="n">
        <x:f>H234*J234</x:f>
        <x:v>0</x:v>
      </x:c>
      <x:c r="L234" s="52" t="str">
        <x:f>IF(I234&gt;=MAX(2,E234*0.5),"Дефицит",IF(H234&gt;=MAX(3,E234*0.75),"Избыток","Норма"))</x:f>
        <x:v>Дефицит</x:v>
      </x:c>
    </x:row>
    <x:row r="235">
      <x:c r="A235" s="48" t="str">
        <x:v>UM-047</x:v>
      </x:c>
      <x:c r="B235" s="48" t="str">
        <x:v>Косуха</x:v>
      </x:c>
      <x:c r="C235" s="48" t="str">
        <x:v>Верхняя одежда</x:v>
      </x:c>
      <x:c r="D235" s="48" t="str">
        <x:v>L</x:v>
      </x:c>
      <x:c r="E235" s="56" t="n">
        <x:v>1</x:v>
      </x:c>
      <x:c r="F235" s="60" t="n">
        <x:f>E235*1.5</x:f>
        <x:v>1.5</x:v>
      </x:c>
      <x:c r="G235" s="56" t="n">
        <x:v>5</x:v>
      </x:c>
      <x:c r="H235" s="60" t="n">
        <x:f>MAX(G235-F235,0)</x:f>
        <x:v>3.5</x:v>
      </x:c>
      <x:c r="I235" s="60" t="n">
        <x:f>MAX(F235-G235,0)</x:f>
        <x:v>0</x:v>
      </x:c>
      <x:c r="J235" s="56" t="n">
        <x:v>2511.6203273587635</x:v>
      </x:c>
      <x:c r="K235" s="60" t="n">
        <x:f>H235*J235</x:f>
        <x:v>8790.671145755672</x:v>
      </x:c>
      <x:c r="L235" s="52" t="str">
        <x:f>IF(I235&gt;=MAX(2,E235*0.5),"Дефицит",IF(H235&gt;=MAX(3,E235*0.75),"Избыток","Норма"))</x:f>
        <x:v>Избыток</x:v>
      </x:c>
    </x:row>
    <x:row r="236">
      <x:c r="A236" s="48" t="str">
        <x:v>UM-047</x:v>
      </x:c>
      <x:c r="B236" s="48" t="str">
        <x:v>Косуха</x:v>
      </x:c>
      <x:c r="C236" s="48" t="str">
        <x:v>Верхняя одежда</x:v>
      </x:c>
      <x:c r="D236" s="48" t="str">
        <x:v>XL</x:v>
      </x:c>
      <x:c r="E236" s="56" t="n">
        <x:v>3</x:v>
      </x:c>
      <x:c r="F236" s="60" t="n">
        <x:f>E236*1.5</x:f>
        <x:v>4.5</x:v>
      </x:c>
      <x:c r="G236" s="56" t="n">
        <x:v>0</x:v>
      </x:c>
      <x:c r="H236" s="60" t="n">
        <x:f>MAX(G236-F236,0)</x:f>
        <x:v>0</x:v>
      </x:c>
      <x:c r="I236" s="60" t="n">
        <x:f>MAX(F236-G236,0)</x:f>
        <x:v>4.5</x:v>
      </x:c>
      <x:c r="J236" s="56" t="n">
        <x:v>2511.6203273587635</x:v>
      </x:c>
      <x:c r="K236" s="60" t="n">
        <x:f>H236*J236</x:f>
        <x:v>0</x:v>
      </x:c>
      <x:c r="L236" s="52" t="str">
        <x:f>IF(I236&gt;=MAX(2,E236*0.5),"Дефицит",IF(H236&gt;=MAX(3,E236*0.75),"Избыток","Норма"))</x:f>
        <x:v>Дефицит</x:v>
      </x:c>
    </x:row>
    <x:row r="237">
      <x:c r="A237" s="48" t="str">
        <x:v>UM-048</x:v>
      </x:c>
      <x:c r="B237" s="48" t="str">
        <x:v>Пальто-халат</x:v>
      </x:c>
      <x:c r="C237" s="48" t="str">
        <x:v>Верхняя одежда</x:v>
      </x:c>
      <x:c r="D237" s="48" t="str">
        <x:v>XS</x:v>
      </x:c>
      <x:c r="E237" s="56" t="n">
        <x:v>1</x:v>
      </x:c>
      <x:c r="F237" s="60" t="n">
        <x:f>E237*1.5</x:f>
        <x:v>1.5</x:v>
      </x:c>
      <x:c r="G237" s="56" t="n">
        <x:v>4</x:v>
      </x:c>
      <x:c r="H237" s="60" t="n">
        <x:f>MAX(G237-F237,0)</x:f>
        <x:v>2.5</x:v>
      </x:c>
      <x:c r="I237" s="60" t="n">
        <x:f>MAX(F237-G237,0)</x:f>
        <x:v>0</x:v>
      </x:c>
      <x:c r="J237" s="56" t="n">
        <x:v>1648.0158865804829</x:v>
      </x:c>
      <x:c r="K237" s="60" t="n">
        <x:f>H237*J237</x:f>
        <x:v>4120.039716451207</x:v>
      </x:c>
      <x:c r="L237" s="52" t="str">
        <x:f>IF(I237&gt;=MAX(2,E237*0.5),"Дефицит",IF(H237&gt;=MAX(3,E237*0.75),"Избыток","Норма"))</x:f>
        <x:v>Норма</x:v>
      </x:c>
    </x:row>
    <x:row r="238">
      <x:c r="A238" s="48" t="str">
        <x:v>UM-048</x:v>
      </x:c>
      <x:c r="B238" s="48" t="str">
        <x:v>Пальто-халат</x:v>
      </x:c>
      <x:c r="C238" s="48" t="str">
        <x:v>Верхняя одежда</x:v>
      </x:c>
      <x:c r="D238" s="48" t="str">
        <x:v>S</x:v>
      </x:c>
      <x:c r="E238" s="56" t="n">
        <x:v>3</x:v>
      </x:c>
      <x:c r="F238" s="60" t="n">
        <x:f>E238*1.5</x:f>
        <x:v>4.5</x:v>
      </x:c>
      <x:c r="G238" s="56" t="n">
        <x:v>6</x:v>
      </x:c>
      <x:c r="H238" s="60" t="n">
        <x:f>MAX(G238-F238,0)</x:f>
        <x:v>1.5</x:v>
      </x:c>
      <x:c r="I238" s="60" t="n">
        <x:f>MAX(F238-G238,0)</x:f>
        <x:v>0</x:v>
      </x:c>
      <x:c r="J238" s="56" t="n">
        <x:v>1648.0158865804829</x:v>
      </x:c>
      <x:c r="K238" s="60" t="n">
        <x:f>H238*J238</x:f>
        <x:v>2472.0238298707245</x:v>
      </x:c>
      <x:c r="L238" s="52" t="str">
        <x:f>IF(I238&gt;=MAX(2,E238*0.5),"Дефицит",IF(H238&gt;=MAX(3,E238*0.75),"Избыток","Норма"))</x:f>
        <x:v>Норма</x:v>
      </x:c>
    </x:row>
    <x:row r="239">
      <x:c r="A239" s="48" t="str">
        <x:v>UM-048</x:v>
      </x:c>
      <x:c r="B239" s="48" t="str">
        <x:v>Пальто-халат</x:v>
      </x:c>
      <x:c r="C239" s="48" t="str">
        <x:v>Верхняя одежда</x:v>
      </x:c>
      <x:c r="D239" s="48" t="str">
        <x:v>M</x:v>
      </x:c>
      <x:c r="E239" s="56" t="n">
        <x:v>4</x:v>
      </x:c>
      <x:c r="F239" s="60" t="n">
        <x:f>E239*1.5</x:f>
        <x:v>6</x:v>
      </x:c>
      <x:c r="G239" s="56" t="n">
        <x:v>6</x:v>
      </x:c>
      <x:c r="H239" s="60" t="n">
        <x:f>MAX(G239-F239,0)</x:f>
        <x:v>0</x:v>
      </x:c>
      <x:c r="I239" s="60" t="n">
        <x:f>MAX(F239-G239,0)</x:f>
        <x:v>0</x:v>
      </x:c>
      <x:c r="J239" s="56" t="n">
        <x:v>1648.0158865804829</x:v>
      </x:c>
      <x:c r="K239" s="60" t="n">
        <x:f>H239*J239</x:f>
        <x:v>0</x:v>
      </x:c>
      <x:c r="L239" s="52" t="str">
        <x:f>IF(I239&gt;=MAX(2,E239*0.5),"Дефицит",IF(H239&gt;=MAX(3,E239*0.75),"Избыток","Норма"))</x:f>
        <x:v>Норма</x:v>
      </x:c>
    </x:row>
    <x:row r="240">
      <x:c r="A240" s="48" t="str">
        <x:v>UM-048</x:v>
      </x:c>
      <x:c r="B240" s="48" t="str">
        <x:v>Пальто-халат</x:v>
      </x:c>
      <x:c r="C240" s="48" t="str">
        <x:v>Верхняя одежда</x:v>
      </x:c>
      <x:c r="D240" s="48" t="str">
        <x:v>L</x:v>
      </x:c>
      <x:c r="E240" s="56" t="n">
        <x:v>2</x:v>
      </x:c>
      <x:c r="F240" s="60" t="n">
        <x:f>E240*1.5</x:f>
        <x:v>3</x:v>
      </x:c>
      <x:c r="G240" s="56" t="n">
        <x:v>3</x:v>
      </x:c>
      <x:c r="H240" s="60" t="n">
        <x:f>MAX(G240-F240,0)</x:f>
        <x:v>0</x:v>
      </x:c>
      <x:c r="I240" s="60" t="n">
        <x:f>MAX(F240-G240,0)</x:f>
        <x:v>0</x:v>
      </x:c>
      <x:c r="J240" s="56" t="n">
        <x:v>1648.0158865804829</x:v>
      </x:c>
      <x:c r="K240" s="60" t="n">
        <x:f>H240*J240</x:f>
        <x:v>0</x:v>
      </x:c>
      <x:c r="L240" s="52" t="str">
        <x:f>IF(I240&gt;=MAX(2,E240*0.5),"Дефицит",IF(H240&gt;=MAX(3,E240*0.75),"Избыток","Норма"))</x:f>
        <x:v>Норма</x:v>
      </x:c>
    </x:row>
    <x:row r="241">
      <x:c r="A241" s="48" t="str">
        <x:v>UM-048</x:v>
      </x:c>
      <x:c r="B241" s="48" t="str">
        <x:v>Пальто-халат</x:v>
      </x:c>
      <x:c r="C241" s="48" t="str">
        <x:v>Верхняя одежда</x:v>
      </x:c>
      <x:c r="D241" s="48" t="str">
        <x:v>XL</x:v>
      </x:c>
      <x:c r="E241" s="56" t="n">
        <x:v>2</x:v>
      </x:c>
      <x:c r="F241" s="60" t="n">
        <x:f>E241*1.5</x:f>
        <x:v>3</x:v>
      </x:c>
      <x:c r="G241" s="56" t="n">
        <x:v>5</x:v>
      </x:c>
      <x:c r="H241" s="60" t="n">
        <x:f>MAX(G241-F241,0)</x:f>
        <x:v>2</x:v>
      </x:c>
      <x:c r="I241" s="60" t="n">
        <x:f>MAX(F241-G241,0)</x:f>
        <x:v>0</x:v>
      </x:c>
      <x:c r="J241" s="56" t="n">
        <x:v>1648.0158865804829</x:v>
      </x:c>
      <x:c r="K241" s="60" t="n">
        <x:f>H241*J241</x:f>
        <x:v>3296.0317731609657</x:v>
      </x:c>
      <x:c r="L241" s="52" t="str">
        <x:f>IF(I241&gt;=MAX(2,E241*0.5),"Дефицит",IF(H241&gt;=MAX(3,E241*0.75),"Избыток","Норма"))</x:f>
        <x:v>Норма</x:v>
      </x:c>
    </x:row>
    <x:row r="242">
      <x:c r="A242" s="48" t="str">
        <x:v>UM-049</x:v>
      </x:c>
      <x:c r="B242" s="48" t="str">
        <x:v>Бомбер</x:v>
      </x:c>
      <x:c r="C242" s="48" t="str">
        <x:v>Верхняя одежда</x:v>
      </x:c>
      <x:c r="D242" s="48" t="str">
        <x:v>XS</x:v>
      </x:c>
      <x:c r="E242" s="56" t="n">
        <x:v>1</x:v>
      </x:c>
      <x:c r="F242" s="60" t="n">
        <x:f>E242*1.5</x:f>
        <x:v>1.5</x:v>
      </x:c>
      <x:c r="G242" s="56" t="n">
        <x:v>4</x:v>
      </x:c>
      <x:c r="H242" s="60" t="n">
        <x:f>MAX(G242-F242,0)</x:f>
        <x:v>2.5</x:v>
      </x:c>
      <x:c r="I242" s="60" t="n">
        <x:f>MAX(F242-G242,0)</x:f>
        <x:v>0</x:v>
      </x:c>
      <x:c r="J242" s="56" t="n">
        <x:v>1456.7237685458767</x:v>
      </x:c>
      <x:c r="K242" s="60" t="n">
        <x:f>H242*J242</x:f>
        <x:v>3641.809421364692</x:v>
      </x:c>
      <x:c r="L242" s="52" t="str">
        <x:f>IF(I242&gt;=MAX(2,E242*0.5),"Дефицит",IF(H242&gt;=MAX(3,E242*0.75),"Избыток","Норма"))</x:f>
        <x:v>Норма</x:v>
      </x:c>
    </x:row>
    <x:row r="243">
      <x:c r="A243" s="48" t="str">
        <x:v>UM-049</x:v>
      </x:c>
      <x:c r="B243" s="48" t="str">
        <x:v>Бомбер</x:v>
      </x:c>
      <x:c r="C243" s="48" t="str">
        <x:v>Верхняя одежда</x:v>
      </x:c>
      <x:c r="D243" s="48" t="str">
        <x:v>S</x:v>
      </x:c>
      <x:c r="E243" s="56" t="n">
        <x:v>4</x:v>
      </x:c>
      <x:c r="F243" s="60" t="n">
        <x:f>E243*1.5</x:f>
        <x:v>6</x:v>
      </x:c>
      <x:c r="G243" s="56" t="n">
        <x:v>10</x:v>
      </x:c>
      <x:c r="H243" s="60" t="n">
        <x:f>MAX(G243-F243,0)</x:f>
        <x:v>4</x:v>
      </x:c>
      <x:c r="I243" s="60" t="n">
        <x:f>MAX(F243-G243,0)</x:f>
        <x:v>0</x:v>
      </x:c>
      <x:c r="J243" s="56" t="n">
        <x:v>1456.7237685458767</x:v>
      </x:c>
      <x:c r="K243" s="60" t="n">
        <x:f>H243*J243</x:f>
        <x:v>5826.895074183507</x:v>
      </x:c>
      <x:c r="L243" s="52" t="str">
        <x:f>IF(I243&gt;=MAX(2,E243*0.5),"Дефицит",IF(H243&gt;=MAX(3,E243*0.75),"Избыток","Норма"))</x:f>
        <x:v>Избыток</x:v>
      </x:c>
    </x:row>
    <x:row r="244">
      <x:c r="A244" s="48" t="str">
        <x:v>UM-049</x:v>
      </x:c>
      <x:c r="B244" s="48" t="str">
        <x:v>Бомбер</x:v>
      </x:c>
      <x:c r="C244" s="48" t="str">
        <x:v>Верхняя одежда</x:v>
      </x:c>
      <x:c r="D244" s="48" t="str">
        <x:v>M</x:v>
      </x:c>
      <x:c r="E244" s="56" t="n">
        <x:v>5</x:v>
      </x:c>
      <x:c r="F244" s="60" t="n">
        <x:f>E244*1.5</x:f>
        <x:v>7.5</x:v>
      </x:c>
      <x:c r="G244" s="56" t="n">
        <x:v>11</x:v>
      </x:c>
      <x:c r="H244" s="60" t="n">
        <x:f>MAX(G244-F244,0)</x:f>
        <x:v>3.5</x:v>
      </x:c>
      <x:c r="I244" s="60" t="n">
        <x:f>MAX(F244-G244,0)</x:f>
        <x:v>0</x:v>
      </x:c>
      <x:c r="J244" s="56" t="n">
        <x:v>1456.7237685458767</x:v>
      </x:c>
      <x:c r="K244" s="60" t="n">
        <x:f>H244*J244</x:f>
        <x:v>5098.533189910569</x:v>
      </x:c>
      <x:c r="L244" s="52" t="str">
        <x:f>IF(I244&gt;=MAX(2,E244*0.5),"Дефицит",IF(H244&gt;=MAX(3,E244*0.75),"Избыток","Норма"))</x:f>
        <x:v>Норма</x:v>
      </x:c>
    </x:row>
    <x:row r="245">
      <x:c r="A245" s="48" t="str">
        <x:v>UM-049</x:v>
      </x:c>
      <x:c r="B245" s="48" t="str">
        <x:v>Бомбер</x:v>
      </x:c>
      <x:c r="C245" s="48" t="str">
        <x:v>Верхняя одежда</x:v>
      </x:c>
      <x:c r="D245" s="48" t="str">
        <x:v>L</x:v>
      </x:c>
      <x:c r="E245" s="56" t="n">
        <x:v>5</x:v>
      </x:c>
      <x:c r="F245" s="60" t="n">
        <x:f>E245*1.5</x:f>
        <x:v>7.5</x:v>
      </x:c>
      <x:c r="G245" s="56" t="n">
        <x:v>13</x:v>
      </x:c>
      <x:c r="H245" s="60" t="n">
        <x:f>MAX(G245-F245,0)</x:f>
        <x:v>5.5</x:v>
      </x:c>
      <x:c r="I245" s="60" t="n">
        <x:f>MAX(F245-G245,0)</x:f>
        <x:v>0</x:v>
      </x:c>
      <x:c r="J245" s="56" t="n">
        <x:v>1456.7237685458767</x:v>
      </x:c>
      <x:c r="K245" s="60" t="n">
        <x:f>H245*J245</x:f>
        <x:v>8011.980727002322</x:v>
      </x:c>
      <x:c r="L245" s="52" t="str">
        <x:f>IF(I245&gt;=MAX(2,E245*0.5),"Дефицит",IF(H245&gt;=MAX(3,E245*0.75),"Избыток","Норма"))</x:f>
        <x:v>Избыток</x:v>
      </x:c>
    </x:row>
    <x:row r="246">
      <x:c r="A246" s="48" t="str">
        <x:v>UM-049</x:v>
      </x:c>
      <x:c r="B246" s="48" t="str">
        <x:v>Бомбер</x:v>
      </x:c>
      <x:c r="C246" s="48" t="str">
        <x:v>Верхняя одежда</x:v>
      </x:c>
      <x:c r="D246" s="48" t="str">
        <x:v>XL</x:v>
      </x:c>
      <x:c r="E246" s="56" t="n">
        <x:v>1</x:v>
      </x:c>
      <x:c r="F246" s="60" t="n">
        <x:f>E246*1.5</x:f>
        <x:v>1.5</x:v>
      </x:c>
      <x:c r="G246" s="56" t="n">
        <x:v>13</x:v>
      </x:c>
      <x:c r="H246" s="60" t="n">
        <x:f>MAX(G246-F246,0)</x:f>
        <x:v>11.5</x:v>
      </x:c>
      <x:c r="I246" s="60" t="n">
        <x:f>MAX(F246-G246,0)</x:f>
        <x:v>0</x:v>
      </x:c>
      <x:c r="J246" s="56" t="n">
        <x:v>1456.7237685458767</x:v>
      </x:c>
      <x:c r="K246" s="60" t="n">
        <x:f>H246*J246</x:f>
        <x:v>16752.323338277583</x:v>
      </x:c>
      <x:c r="L246" s="52" t="str">
        <x:f>IF(I246&gt;=MAX(2,E246*0.5),"Дефицит",IF(H246&gt;=MAX(3,E246*0.75),"Избыток","Норма"))</x:f>
        <x:v>Избыток</x:v>
      </x:c>
    </x:row>
    <x:row r="247">
      <x:c r="A247" s="48" t="str">
        <x:v>UM-050</x:v>
      </x:c>
      <x:c r="B247" s="48" t="str">
        <x:v>Куртка-рубашка</x:v>
      </x:c>
      <x:c r="C247" s="48" t="str">
        <x:v>Верхняя одежда</x:v>
      </x:c>
      <x:c r="D247" s="48" t="str">
        <x:v>XS</x:v>
      </x:c>
      <x:c r="E247" s="56" t="n">
        <x:v>2</x:v>
      </x:c>
      <x:c r="F247" s="60" t="n">
        <x:f>E247*1.5</x:f>
        <x:v>3</x:v>
      </x:c>
      <x:c r="G247" s="56" t="n">
        <x:v>3</x:v>
      </x:c>
      <x:c r="H247" s="60" t="n">
        <x:f>MAX(G247-F247,0)</x:f>
        <x:v>0</x:v>
      </x:c>
      <x:c r="I247" s="60" t="n">
        <x:f>MAX(F247-G247,0)</x:f>
        <x:v>0</x:v>
      </x:c>
      <x:c r="J247" s="56" t="n">
        <x:v>2145.8327846697416</x:v>
      </x:c>
      <x:c r="K247" s="60" t="n">
        <x:f>H247*J247</x:f>
        <x:v>0</x:v>
      </x:c>
      <x:c r="L247" s="52" t="str">
        <x:f>IF(I247&gt;=MAX(2,E247*0.5),"Дефицит",IF(H247&gt;=MAX(3,E247*0.75),"Избыток","Норма"))</x:f>
        <x:v>Норма</x:v>
      </x:c>
    </x:row>
    <x:row r="248">
      <x:c r="A248" s="48" t="str">
        <x:v>UM-050</x:v>
      </x:c>
      <x:c r="B248" s="48" t="str">
        <x:v>Куртка-рубашка</x:v>
      </x:c>
      <x:c r="C248" s="48" t="str">
        <x:v>Верхняя одежда</x:v>
      </x:c>
      <x:c r="D248" s="48" t="str">
        <x:v>S</x:v>
      </x:c>
      <x:c r="E248" s="56" t="n">
        <x:v>5</x:v>
      </x:c>
      <x:c r="F248" s="60" t="n">
        <x:f>E248*1.5</x:f>
        <x:v>7.5</x:v>
      </x:c>
      <x:c r="G248" s="56" t="n">
        <x:v>5</x:v>
      </x:c>
      <x:c r="H248" s="60" t="n">
        <x:f>MAX(G248-F248,0)</x:f>
        <x:v>0</x:v>
      </x:c>
      <x:c r="I248" s="60" t="n">
        <x:f>MAX(F248-G248,0)</x:f>
        <x:v>2.5</x:v>
      </x:c>
      <x:c r="J248" s="56" t="n">
        <x:v>2145.8327846697416</x:v>
      </x:c>
      <x:c r="K248" s="60" t="n">
        <x:f>H248*J248</x:f>
        <x:v>0</x:v>
      </x:c>
      <x:c r="L248" s="52" t="str">
        <x:f>IF(I248&gt;=MAX(2,E248*0.5),"Дефицит",IF(H248&gt;=MAX(3,E248*0.75),"Избыток","Норма"))</x:f>
        <x:v>Дефицит</x:v>
      </x:c>
    </x:row>
    <x:row r="249">
      <x:c r="A249" s="48" t="str">
        <x:v>UM-050</x:v>
      </x:c>
      <x:c r="B249" s="48" t="str">
        <x:v>Куртка-рубашка</x:v>
      </x:c>
      <x:c r="C249" s="48" t="str">
        <x:v>Верхняя одежда</x:v>
      </x:c>
      <x:c r="D249" s="48" t="str">
        <x:v>M</x:v>
      </x:c>
      <x:c r="E249" s="56" t="n">
        <x:v>6</x:v>
      </x:c>
      <x:c r="F249" s="60" t="n">
        <x:f>E249*1.5</x:f>
        <x:v>9</x:v>
      </x:c>
      <x:c r="G249" s="56" t="n">
        <x:v>2</x:v>
      </x:c>
      <x:c r="H249" s="60" t="n">
        <x:f>MAX(G249-F249,0)</x:f>
        <x:v>0</x:v>
      </x:c>
      <x:c r="I249" s="60" t="n">
        <x:f>MAX(F249-G249,0)</x:f>
        <x:v>7</x:v>
      </x:c>
      <x:c r="J249" s="56" t="n">
        <x:v>2145.8327846697416</x:v>
      </x:c>
      <x:c r="K249" s="60" t="n">
        <x:f>H249*J249</x:f>
        <x:v>0</x:v>
      </x:c>
      <x:c r="L249" s="52" t="str">
        <x:f>IF(I249&gt;=MAX(2,E249*0.5),"Дефицит",IF(H249&gt;=MAX(3,E249*0.75),"Избыток","Норма"))</x:f>
        <x:v>Дефицит</x:v>
      </x:c>
    </x:row>
    <x:row r="250">
      <x:c r="A250" s="48" t="str">
        <x:v>UM-050</x:v>
      </x:c>
      <x:c r="B250" s="48" t="str">
        <x:v>Куртка-рубашка</x:v>
      </x:c>
      <x:c r="C250" s="48" t="str">
        <x:v>Верхняя одежда</x:v>
      </x:c>
      <x:c r="D250" s="48" t="str">
        <x:v>L</x:v>
      </x:c>
      <x:c r="E250" s="56" t="n">
        <x:v>5</x:v>
      </x:c>
      <x:c r="F250" s="60" t="n">
        <x:f>E250*1.5</x:f>
        <x:v>7.5</x:v>
      </x:c>
      <x:c r="G250" s="56" t="n">
        <x:v>2</x:v>
      </x:c>
      <x:c r="H250" s="60" t="n">
        <x:f>MAX(G250-F250,0)</x:f>
        <x:v>0</x:v>
      </x:c>
      <x:c r="I250" s="60" t="n">
        <x:f>MAX(F250-G250,0)</x:f>
        <x:v>5.5</x:v>
      </x:c>
      <x:c r="J250" s="56" t="n">
        <x:v>2145.8327846697416</x:v>
      </x:c>
      <x:c r="K250" s="60" t="n">
        <x:f>H250*J250</x:f>
        <x:v>0</x:v>
      </x:c>
      <x:c r="L250" s="52" t="str">
        <x:f>IF(I250&gt;=MAX(2,E250*0.5),"Дефицит",IF(H250&gt;=MAX(3,E250*0.75),"Избыток","Норма"))</x:f>
        <x:v>Дефицит</x:v>
      </x:c>
    </x:row>
    <x:row r="251">
      <x:c r="A251" s="49" t="str">
        <x:v>UM-050</x:v>
      </x:c>
      <x:c r="B251" s="49" t="str">
        <x:v>Куртка-рубашка</x:v>
      </x:c>
      <x:c r="C251" s="49" t="str">
        <x:v>Верхняя одежда</x:v>
      </x:c>
      <x:c r="D251" s="49" t="str">
        <x:v>XL</x:v>
      </x:c>
      <x:c r="E251" s="57" t="n">
        <x:v>3</x:v>
      </x:c>
      <x:c r="F251" s="61" t="n">
        <x:f>E251*1.5</x:f>
        <x:v>4.5</x:v>
      </x:c>
      <x:c r="G251" s="57" t="n">
        <x:v>5</x:v>
      </x:c>
      <x:c r="H251" s="61" t="n">
        <x:f>MAX(G251-F251,0)</x:f>
        <x:v>0.5</x:v>
      </x:c>
      <x:c r="I251" s="61" t="n">
        <x:f>MAX(F251-G251,0)</x:f>
        <x:v>0</x:v>
      </x:c>
      <x:c r="J251" s="57" t="n">
        <x:v>2145.8327846697416</x:v>
      </x:c>
      <x:c r="K251" s="61" t="n">
        <x:f>H251*J251</x:f>
        <x:v>1072.9163923348708</x:v>
      </x:c>
      <x:c r="L251" s="53" t="str">
        <x:f>IF(I251&gt;=MAX(2,E251*0.5),"Дефицит",IF(H251&gt;=MAX(3,E251*0.75),"Избыток","Норма"))</x:f>
        <x:v>Норма</x:v>
      </x:c>
    </x:row>
  </x:sheetData>
  <x:conditionalFormatting sqref="L2:L251">
    <x:cfRule type="expression" dxfId="4" priority="1">
      <x:formula>L2="Дефицит"</x:formula>
    </x:cfRule>
    <x:cfRule type="expression" dxfId="5" priority="2">
      <x:formula>L2="Избыток"</x:formula>
    </x:cfRule>
    <x:cfRule type="expression" dxfId="6" priority="3">
      <x:formula>L2="Норма"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3f3c58a9904ba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5" hidden="0" customWidth="1"/>
    <x:col min="3" max="3" width="20" hidden="0" customWidth="1"/>
    <x:col min="4" max="4" width="18" hidden="0" customWidth="1"/>
    <x:col min="5" max="5" width="20" hidden="0" customWidth="1"/>
    <x:col min="6" max="6" width="22" hidden="0" customWidth="1"/>
    <x:col min="7" max="7" width="25" hidden="0" customWidth="1"/>
    <x:col min="8" max="8" width="14" hidden="0" customWidth="1"/>
    <x:col min="9" max="9" width="22" hidden="0" customWidth="1"/>
    <x:col min="10" max="10" width="14" hidden="0" customWidth="1"/>
    <x:col min="11" max="11" width="42" hidden="0" customWidth="1"/>
  </x:cols>
  <x:sheetData>
    <x:row r="1" ht="28" customHeight="1">
      <x:c r="A1" s="17" t="str">
        <x:v>SKU</x:v>
      </x:c>
      <x:c r="B1" s="43" t="str">
        <x:v>Товар</x:v>
      </x:c>
      <x:c r="C1" s="43" t="str">
        <x:v>Категория</x:v>
      </x:c>
      <x:c r="D1" s="43" t="str">
        <x:v>Прогноз марта, ед.</x:v>
      </x:c>
      <x:c r="E1" s="43" t="str">
        <x:v>Текущий остаток, ед.</x:v>
      </x:c>
      <x:c r="F1" s="43" t="str">
        <x:v>Целевой запас 45д, ед.</x:v>
      </x:c>
      <x:c r="G1" s="43" t="str">
        <x:v>Рекомендуемая поставка, ед.</x:v>
      </x:c>
      <x:c r="H1" s="43" t="str">
        <x:v>Избыток, ед.</x:v>
      </x:c>
      <x:c r="I1" s="43" t="str">
        <x:v>Заморожено денег, ₽</x:v>
      </x:c>
      <x:c r="J1" s="43" t="str">
        <x:v>Статус</x:v>
      </x:c>
      <x:c r="K1" s="18" t="str">
        <x:v>Рекомендация</x:v>
      </x:c>
    </x:row>
    <x:row r="2">
      <x:c r="A2" s="48" t="str">
        <x:v>UM-001</x:v>
      </x:c>
      <x:c r="B2" s="48" t="str">
        <x:v>Миди с поясом</x:v>
      </x:c>
      <x:c r="C2" s="48" t="str">
        <x:v>Платья</x:v>
      </x:c>
      <x:c r="D2" s="80" t="n">
        <x:f>ROUND((SUMIFS('Данные_месяцы'!$K$2:$K$301,'Данные_месяцы'!$B$2:$B$301,A2,'Данные_месяцы'!$A$2:$A$301,"2025-12")*0.2+SUMIFS('Данные_месяцы'!$K$2:$K$301,'Данные_месяцы'!$B$2:$B$301,A2,'Данные_месяцы'!$A$2:$A$301,"2026-01")*0.3+SUMIFS('Данные_месяцы'!$K$2:$K$301,'Данные_месяцы'!$B$2:$B$301,A2,'Данные_месяцы'!$A$2:$A$301,"2026-02")*0.5)*VLOOKUP(C2,'Допущения'!$A$11:$B$16,2,FALSE),0)</x:f>
        <x:v>21</x:v>
      </x:c>
      <x:c r="E2" s="80" t="n">
        <x:f>SUMIF('Остатки_размеры'!$A$2:$A$251,A2,'Остатки_размеры'!$G$2:$G$251)</x:f>
        <x:v>41</x:v>
      </x:c>
      <x:c r="F2" s="80" t="n">
        <x:f>D2*1.5</x:f>
        <x:v>31.5</x:v>
      </x:c>
      <x:c r="G2" s="80" t="n">
        <x:f>MAX(F2-E2,0)</x:f>
        <x:v>0</x:v>
      </x:c>
      <x:c r="H2" s="80" t="n">
        <x:f>MAX(E2-F2,0)</x:f>
        <x:v>9.5</x:v>
      </x:c>
      <x:c r="I2" s="80" t="n">
        <x:f>H2*AVERAGEIF('Данные_месяцы'!$B$2:$B$301,A2,'Данные_месяцы'!$G$2:$G$301)</x:f>
        <x:v>22108.418446135252</x:v>
      </x:c>
      <x:c r="J2" s="76" t="str">
        <x:f>IF(G2&gt;0,"Дефицит",IF(H2&gt;0,"Избыток","Норма"))</x:f>
        <x:v>Избыток</x:v>
      </x:c>
      <x:c r="K2" s="76" t="str">
        <x:f>IF(G2&gt;0,"Пополнить прибыльные размеры",IF(H2&gt;0,"Снизить закупку или перераспределить","Поддерживать текущий запас"))</x:f>
        <x:v>Снизить закупку или перераспределить</x:v>
      </x:c>
    </x:row>
    <x:row r="3">
      <x:c r="A3" s="48" t="str">
        <x:v>UM-002</x:v>
      </x:c>
      <x:c r="B3" s="48" t="str">
        <x:v>Трикотажное миди</x:v>
      </x:c>
      <x:c r="C3" s="48" t="str">
        <x:v>Платья</x:v>
      </x:c>
      <x:c r="D3" s="80" t="n">
        <x:f>ROUND((SUMIFS('Данные_месяцы'!$K$2:$K$301,'Данные_месяцы'!$B$2:$B$301,A3,'Данные_месяцы'!$A$2:$A$301,"2025-12")*0.2+SUMIFS('Данные_месяцы'!$K$2:$K$301,'Данные_месяцы'!$B$2:$B$301,A3,'Данные_месяцы'!$A$2:$A$301,"2026-01")*0.3+SUMIFS('Данные_месяцы'!$K$2:$K$301,'Данные_месяцы'!$B$2:$B$301,A3,'Данные_месяцы'!$A$2:$A$301,"2026-02")*0.5)*VLOOKUP(C3,'Допущения'!$A$11:$B$16,2,FALSE),0)</x:f>
        <x:v>23</x:v>
      </x:c>
      <x:c r="E3" s="80" t="n">
        <x:f>SUMIF('Остатки_размеры'!$A$2:$A$251,A3,'Остатки_размеры'!$G$2:$G$251)</x:f>
        <x:v>30</x:v>
      </x:c>
      <x:c r="F3" s="80" t="n">
        <x:f>D3*1.5</x:f>
        <x:v>34.5</x:v>
      </x:c>
      <x:c r="G3" s="80" t="n">
        <x:f>MAX(F3-E3,0)</x:f>
        <x:v>4.5</x:v>
      </x:c>
      <x:c r="H3" s="80" t="n">
        <x:f>MAX(E3-F3,0)</x:f>
        <x:v>0</x:v>
      </x:c>
      <x:c r="I3" s="80" t="n">
        <x:f>H3*AVERAGEIF('Данные_месяцы'!$B$2:$B$301,A3,'Данные_месяцы'!$G$2:$G$301)</x:f>
        <x:v>0</x:v>
      </x:c>
      <x:c r="J3" s="76" t="str">
        <x:f>IF(G3&gt;0,"Дефицит",IF(H3&gt;0,"Избыток","Норма"))</x:f>
        <x:v>Дефицит</x:v>
      </x:c>
      <x:c r="K3" s="76" t="str">
        <x:f>IF(G3&gt;0,"Пополнить прибыльные размеры",IF(H3&gt;0,"Снизить закупку или перераспределить","Поддерживать текущий запас"))</x:f>
        <x:v>Пополнить прибыльные размеры</x:v>
      </x:c>
    </x:row>
    <x:row r="4">
      <x:c r="A4" s="48" t="str">
        <x:v>UM-003</x:v>
      </x:c>
      <x:c r="B4" s="48" t="str">
        <x:v>Платье-комбинация</x:v>
      </x:c>
      <x:c r="C4" s="48" t="str">
        <x:v>Платья</x:v>
      </x:c>
      <x:c r="D4" s="80" t="n">
        <x:f>ROUND((SUMIFS('Данные_месяцы'!$K$2:$K$301,'Данные_месяцы'!$B$2:$B$301,A4,'Данные_месяцы'!$A$2:$A$301,"2025-12")*0.2+SUMIFS('Данные_месяцы'!$K$2:$K$301,'Данные_месяцы'!$B$2:$B$301,A4,'Данные_месяцы'!$A$2:$A$301,"2026-01")*0.3+SUMIFS('Данные_месяцы'!$K$2:$K$301,'Данные_месяцы'!$B$2:$B$301,A4,'Данные_месяцы'!$A$2:$A$301,"2026-02")*0.5)*VLOOKUP(C4,'Допущения'!$A$11:$B$16,2,FALSE),0)</x:f>
        <x:v>16</x:v>
      </x:c>
      <x:c r="E4" s="80" t="n">
        <x:f>SUMIF('Остатки_размеры'!$A$2:$A$251,A4,'Остатки_размеры'!$G$2:$G$251)</x:f>
        <x:v>32</x:v>
      </x:c>
      <x:c r="F4" s="80" t="n">
        <x:f>D4*1.5</x:f>
        <x:v>24</x:v>
      </x:c>
      <x:c r="G4" s="80" t="n">
        <x:f>MAX(F4-E4,0)</x:f>
        <x:v>0</x:v>
      </x:c>
      <x:c r="H4" s="80" t="n">
        <x:f>MAX(E4-F4,0)</x:f>
        <x:v>8</x:v>
      </x:c>
      <x:c r="I4" s="80" t="n">
        <x:f>H4*AVERAGEIF('Данные_месяцы'!$B$2:$B$301,A4,'Данные_месяцы'!$G$2:$G$301)</x:f>
        <x:v>11038.845721694326</x:v>
      </x:c>
      <x:c r="J4" s="76" t="str">
        <x:f>IF(G4&gt;0,"Дефицит",IF(H4&gt;0,"Избыток","Норма"))</x:f>
        <x:v>Избыток</x:v>
      </x:c>
      <x:c r="K4" s="76" t="str">
        <x:f>IF(G4&gt;0,"Пополнить прибыльные размеры",IF(H4&gt;0,"Снизить закупку или перераспределить","Поддерживать текущий запас"))</x:f>
        <x:v>Снизить закупку или перераспределить</x:v>
      </x:c>
    </x:row>
    <x:row r="5">
      <x:c r="A5" s="48" t="str">
        <x:v>UM-004</x:v>
      </x:c>
      <x:c r="B5" s="48" t="str">
        <x:v>Офисное футляр</x:v>
      </x:c>
      <x:c r="C5" s="48" t="str">
        <x:v>Платья</x:v>
      </x:c>
      <x:c r="D5" s="80" t="n">
        <x:f>ROUND((SUMIFS('Данные_месяцы'!$K$2:$K$301,'Данные_месяцы'!$B$2:$B$301,A5,'Данные_месяцы'!$A$2:$A$301,"2025-12")*0.2+SUMIFS('Данные_месяцы'!$K$2:$K$301,'Данные_месяцы'!$B$2:$B$301,A5,'Данные_месяцы'!$A$2:$A$301,"2026-01")*0.3+SUMIFS('Данные_месяцы'!$K$2:$K$301,'Данные_месяцы'!$B$2:$B$301,A5,'Данные_месяцы'!$A$2:$A$301,"2026-02")*0.5)*VLOOKUP(C5,'Допущения'!$A$11:$B$16,2,FALSE),0)</x:f>
        <x:v>29</x:v>
      </x:c>
      <x:c r="E5" s="80" t="n">
        <x:f>SUMIF('Остатки_размеры'!$A$2:$A$251,A5,'Остатки_размеры'!$G$2:$G$251)</x:f>
        <x:v>50</x:v>
      </x:c>
      <x:c r="F5" s="80" t="n">
        <x:f>D5*1.5</x:f>
        <x:v>43.5</x:v>
      </x:c>
      <x:c r="G5" s="80" t="n">
        <x:f>MAX(F5-E5,0)</x:f>
        <x:v>0</x:v>
      </x:c>
      <x:c r="H5" s="80" t="n">
        <x:f>MAX(E5-F5,0)</x:f>
        <x:v>6.5</x:v>
      </x:c>
      <x:c r="I5" s="80" t="n">
        <x:f>H5*AVERAGEIF('Данные_месяцы'!$B$2:$B$301,A5,'Данные_месяцы'!$G$2:$G$301)</x:f>
        <x:v>9316.211003598994</x:v>
      </x:c>
      <x:c r="J5" s="76" t="str">
        <x:f>IF(G5&gt;0,"Дефицит",IF(H5&gt;0,"Избыток","Норма"))</x:f>
        <x:v>Избыток</x:v>
      </x:c>
      <x:c r="K5" s="76" t="str">
        <x:f>IF(G5&gt;0,"Пополнить прибыльные размеры",IF(H5&gt;0,"Снизить закупку или перераспределить","Поддерживать текущий запас"))</x:f>
        <x:v>Снизить закупку или перераспределить</x:v>
      </x:c>
    </x:row>
    <x:row r="6">
      <x:c r="A6" s="48" t="str">
        <x:v>UM-005</x:v>
      </x:c>
      <x:c r="B6" s="48" t="str">
        <x:v>Платье-рубашка</x:v>
      </x:c>
      <x:c r="C6" s="48" t="str">
        <x:v>Платья</x:v>
      </x:c>
      <x:c r="D6" s="80" t="n">
        <x:f>ROUND((SUMIFS('Данные_месяцы'!$K$2:$K$301,'Данные_месяцы'!$B$2:$B$301,A6,'Данные_месяцы'!$A$2:$A$301,"2025-12")*0.2+SUMIFS('Данные_месяцы'!$K$2:$K$301,'Данные_месяцы'!$B$2:$B$301,A6,'Данные_месяцы'!$A$2:$A$301,"2026-01")*0.3+SUMIFS('Данные_месяцы'!$K$2:$K$301,'Данные_месяцы'!$B$2:$B$301,A6,'Данные_месяцы'!$A$2:$A$301,"2026-02")*0.5)*VLOOKUP(C6,'Допущения'!$A$11:$B$16,2,FALSE),0)</x:f>
        <x:v>38</x:v>
      </x:c>
      <x:c r="E6" s="80" t="n">
        <x:f>SUMIF('Остатки_размеры'!$A$2:$A$251,A6,'Остатки_размеры'!$G$2:$G$251)</x:f>
        <x:v>51</x:v>
      </x:c>
      <x:c r="F6" s="80" t="n">
        <x:f>D6*1.5</x:f>
        <x:v>57</x:v>
      </x:c>
      <x:c r="G6" s="80" t="n">
        <x:f>MAX(F6-E6,0)</x:f>
        <x:v>6</x:v>
      </x:c>
      <x:c r="H6" s="80" t="n">
        <x:f>MAX(E6-F6,0)</x:f>
        <x:v>0</x:v>
      </x:c>
      <x:c r="I6" s="80" t="n">
        <x:f>H6*AVERAGEIF('Данные_месяцы'!$B$2:$B$301,A6,'Данные_месяцы'!$G$2:$G$301)</x:f>
        <x:v>0</x:v>
      </x:c>
      <x:c r="J6" s="76" t="str">
        <x:f>IF(G6&gt;0,"Дефицит",IF(H6&gt;0,"Избыток","Норма"))</x:f>
        <x:v>Дефицит</x:v>
      </x:c>
      <x:c r="K6" s="76" t="str">
        <x:f>IF(G6&gt;0,"Пополнить прибыльные размеры",IF(H6&gt;0,"Снизить закупку или перераспределить","Поддерживать текущий запас"))</x:f>
        <x:v>Пополнить прибыльные размеры</x:v>
      </x:c>
    </x:row>
    <x:row r="7">
      <x:c r="A7" s="48" t="str">
        <x:v>UM-006</x:v>
      </x:c>
      <x:c r="B7" s="48" t="str">
        <x:v>Вечернее макси</x:v>
      </x:c>
      <x:c r="C7" s="48" t="str">
        <x:v>Платья</x:v>
      </x:c>
      <x:c r="D7" s="80" t="n">
        <x:f>ROUND((SUMIFS('Данные_месяцы'!$K$2:$K$301,'Данные_месяцы'!$B$2:$B$301,A7,'Данные_месяцы'!$A$2:$A$301,"2025-12")*0.2+SUMIFS('Данные_месяцы'!$K$2:$K$301,'Данные_месяцы'!$B$2:$B$301,A7,'Данные_месяцы'!$A$2:$A$301,"2026-01")*0.3+SUMIFS('Данные_месяцы'!$K$2:$K$301,'Данные_месяцы'!$B$2:$B$301,A7,'Данные_месяцы'!$A$2:$A$301,"2026-02")*0.5)*VLOOKUP(C7,'Допущения'!$A$11:$B$16,2,FALSE),0)</x:f>
        <x:v>10</x:v>
      </x:c>
      <x:c r="E7" s="80" t="n">
        <x:f>SUMIF('Остатки_размеры'!$A$2:$A$251,A7,'Остатки_размеры'!$G$2:$G$251)</x:f>
        <x:v>14</x:v>
      </x:c>
      <x:c r="F7" s="80" t="n">
        <x:f>D7*1.5</x:f>
        <x:v>15</x:v>
      </x:c>
      <x:c r="G7" s="80" t="n">
        <x:f>MAX(F7-E7,0)</x:f>
        <x:v>1</x:v>
      </x:c>
      <x:c r="H7" s="80" t="n">
        <x:f>MAX(E7-F7,0)</x:f>
        <x:v>0</x:v>
      </x:c>
      <x:c r="I7" s="80" t="n">
        <x:f>H7*AVERAGEIF('Данные_месяцы'!$B$2:$B$301,A7,'Данные_месяцы'!$G$2:$G$301)</x:f>
        <x:v>0</x:v>
      </x:c>
      <x:c r="J7" s="76" t="str">
        <x:f>IF(G7&gt;0,"Дефицит",IF(H7&gt;0,"Избыток","Норма"))</x:f>
        <x:v>Дефицит</x:v>
      </x:c>
      <x:c r="K7" s="76" t="str">
        <x:f>IF(G7&gt;0,"Пополнить прибыльные размеры",IF(H7&gt;0,"Снизить закупку или перераспределить","Поддерживать текущий запас"))</x:f>
        <x:v>Пополнить прибыльные размеры</x:v>
      </x:c>
    </x:row>
    <x:row r="8">
      <x:c r="A8" s="48" t="str">
        <x:v>UM-007</x:v>
      </x:c>
      <x:c r="B8" s="48" t="str">
        <x:v>Платье с запахом</x:v>
      </x:c>
      <x:c r="C8" s="48" t="str">
        <x:v>Платья</x:v>
      </x:c>
      <x:c r="D8" s="80" t="n">
        <x:f>ROUND((SUMIFS('Данные_месяцы'!$K$2:$K$301,'Данные_месяцы'!$B$2:$B$301,A8,'Данные_месяцы'!$A$2:$A$301,"2025-12")*0.2+SUMIFS('Данные_месяцы'!$K$2:$K$301,'Данные_месяцы'!$B$2:$B$301,A8,'Данные_месяцы'!$A$2:$A$301,"2026-01")*0.3+SUMIFS('Данные_месяцы'!$K$2:$K$301,'Данные_месяцы'!$B$2:$B$301,A8,'Данные_месяцы'!$A$2:$A$301,"2026-02")*0.5)*VLOOKUP(C8,'Допущения'!$A$11:$B$16,2,FALSE),0)</x:f>
        <x:v>43</x:v>
      </x:c>
      <x:c r="E8" s="80" t="n">
        <x:f>SUMIF('Остатки_размеры'!$A$2:$A$251,A8,'Остатки_размеры'!$G$2:$G$251)</x:f>
        <x:v>22</x:v>
      </x:c>
      <x:c r="F8" s="80" t="n">
        <x:f>D8*1.5</x:f>
        <x:v>64.5</x:v>
      </x:c>
      <x:c r="G8" s="80" t="n">
        <x:f>MAX(F8-E8,0)</x:f>
        <x:v>42.5</x:v>
      </x:c>
      <x:c r="H8" s="80" t="n">
        <x:f>MAX(E8-F8,0)</x:f>
        <x:v>0</x:v>
      </x:c>
      <x:c r="I8" s="80" t="n">
        <x:f>H8*AVERAGEIF('Данные_месяцы'!$B$2:$B$301,A8,'Данные_месяцы'!$G$2:$G$301)</x:f>
        <x:v>0</x:v>
      </x:c>
      <x:c r="J8" s="76" t="str">
        <x:f>IF(G8&gt;0,"Дефицит",IF(H8&gt;0,"Избыток","Норма"))</x:f>
        <x:v>Дефицит</x:v>
      </x:c>
      <x:c r="K8" s="76" t="str">
        <x:f>IF(G8&gt;0,"Пополнить прибыльные размеры",IF(H8&gt;0,"Снизить закупку или перераспределить","Поддерживать текущий запас"))</x:f>
        <x:v>Пополнить прибыльные размеры</x:v>
      </x:c>
    </x:row>
    <x:row r="9">
      <x:c r="A9" s="48" t="str">
        <x:v>UM-008</x:v>
      </x:c>
      <x:c r="B9" s="48" t="str">
        <x:v>Мини жакетное</x:v>
      </x:c>
      <x:c r="C9" s="48" t="str">
        <x:v>Платья</x:v>
      </x:c>
      <x:c r="D9" s="80" t="n">
        <x:f>ROUND((SUMIFS('Данные_месяцы'!$K$2:$K$301,'Данные_месяцы'!$B$2:$B$301,A9,'Данные_месяцы'!$A$2:$A$301,"2025-12")*0.2+SUMIFS('Данные_месяцы'!$K$2:$K$301,'Данные_месяцы'!$B$2:$B$301,A9,'Данные_месяцы'!$A$2:$A$301,"2026-01")*0.3+SUMIFS('Данные_месяцы'!$K$2:$K$301,'Данные_месяцы'!$B$2:$B$301,A9,'Данные_месяцы'!$A$2:$A$301,"2026-02")*0.5)*VLOOKUP(C9,'Допущения'!$A$11:$B$16,2,FALSE),0)</x:f>
        <x:v>24</x:v>
      </x:c>
      <x:c r="E9" s="80" t="n">
        <x:f>SUMIF('Остатки_размеры'!$A$2:$A$251,A9,'Остатки_размеры'!$G$2:$G$251)</x:f>
        <x:v>35</x:v>
      </x:c>
      <x:c r="F9" s="80" t="n">
        <x:f>D9*1.5</x:f>
        <x:v>36</x:v>
      </x:c>
      <x:c r="G9" s="80" t="n">
        <x:f>MAX(F9-E9,0)</x:f>
        <x:v>1</x:v>
      </x:c>
      <x:c r="H9" s="80" t="n">
        <x:f>MAX(E9-F9,0)</x:f>
        <x:v>0</x:v>
      </x:c>
      <x:c r="I9" s="80" t="n">
        <x:f>H9*AVERAGEIF('Данные_месяцы'!$B$2:$B$301,A9,'Данные_месяцы'!$G$2:$G$301)</x:f>
        <x:v>0</x:v>
      </x:c>
      <x:c r="J9" s="76" t="str">
        <x:f>IF(G9&gt;0,"Дефицит",IF(H9&gt;0,"Избыток","Норма"))</x:f>
        <x:v>Дефицит</x:v>
      </x:c>
      <x:c r="K9" s="76" t="str">
        <x:f>IF(G9&gt;0,"Пополнить прибыльные размеры",IF(H9&gt;0,"Снизить закупку или перераспределить","Поддерживать текущий запас"))</x:f>
        <x:v>Пополнить прибыльные размеры</x:v>
      </x:c>
    </x:row>
    <x:row r="10">
      <x:c r="A10" s="48" t="str">
        <x:v>UM-009</x:v>
      </x:c>
      <x:c r="B10" s="48" t="str">
        <x:v>Миди плиссе</x:v>
      </x:c>
      <x:c r="C10" s="48" t="str">
        <x:v>Платья</x:v>
      </x:c>
      <x:c r="D10" s="80" t="n">
        <x:f>ROUND((SUMIFS('Данные_месяцы'!$K$2:$K$301,'Данные_месяцы'!$B$2:$B$301,A10,'Данные_месяцы'!$A$2:$A$301,"2025-12")*0.2+SUMIFS('Данные_месяцы'!$K$2:$K$301,'Данные_месяцы'!$B$2:$B$301,A10,'Данные_месяцы'!$A$2:$A$301,"2026-01")*0.3+SUMIFS('Данные_месяцы'!$K$2:$K$301,'Данные_месяцы'!$B$2:$B$301,A10,'Данные_месяцы'!$A$2:$A$301,"2026-02")*0.5)*VLOOKUP(C10,'Допущения'!$A$11:$B$16,2,FALSE),0)</x:f>
        <x:v>20</x:v>
      </x:c>
      <x:c r="E10" s="80" t="n">
        <x:f>SUMIF('Остатки_размеры'!$A$2:$A$251,A10,'Остатки_размеры'!$G$2:$G$251)</x:f>
        <x:v>11</x:v>
      </x:c>
      <x:c r="F10" s="80" t="n">
        <x:f>D10*1.5</x:f>
        <x:v>30</x:v>
      </x:c>
      <x:c r="G10" s="80" t="n">
        <x:f>MAX(F10-E10,0)</x:f>
        <x:v>19</x:v>
      </x:c>
      <x:c r="H10" s="80" t="n">
        <x:f>MAX(E10-F10,0)</x:f>
        <x:v>0</x:v>
      </x:c>
      <x:c r="I10" s="80" t="n">
        <x:f>H10*AVERAGEIF('Данные_месяцы'!$B$2:$B$301,A10,'Данные_месяцы'!$G$2:$G$301)</x:f>
        <x:v>0</x:v>
      </x:c>
      <x:c r="J10" s="76" t="str">
        <x:f>IF(G10&gt;0,"Дефицит",IF(H10&gt;0,"Избыток","Норма"))</x:f>
        <x:v>Дефицит</x:v>
      </x:c>
      <x:c r="K10" s="76" t="str">
        <x:f>IF(G10&gt;0,"Пополнить прибыльные размеры",IF(H10&gt;0,"Снизить закупку или перераспределить","Поддерживать текущий запас"))</x:f>
        <x:v>Пополнить прибыльные размеры</x:v>
      </x:c>
    </x:row>
    <x:row r="11">
      <x:c r="A11" s="48" t="str">
        <x:v>UM-010</x:v>
      </x:c>
      <x:c r="B11" s="48" t="str">
        <x:v>Платье с рукавом</x:v>
      </x:c>
      <x:c r="C11" s="48" t="str">
        <x:v>Платья</x:v>
      </x:c>
      <x:c r="D11" s="80" t="n">
        <x:f>ROUND((SUMIFS('Данные_месяцы'!$K$2:$K$301,'Данные_месяцы'!$B$2:$B$301,A11,'Данные_месяцы'!$A$2:$A$301,"2025-12")*0.2+SUMIFS('Данные_месяцы'!$K$2:$K$301,'Данные_месяцы'!$B$2:$B$301,A11,'Данные_месяцы'!$A$2:$A$301,"2026-01")*0.3+SUMIFS('Данные_месяцы'!$K$2:$K$301,'Данные_месяцы'!$B$2:$B$301,A11,'Данные_месяцы'!$A$2:$A$301,"2026-02")*0.5)*VLOOKUP(C11,'Допущения'!$A$11:$B$16,2,FALSE),0)</x:f>
        <x:v>25</x:v>
      </x:c>
      <x:c r="E11" s="80" t="n">
        <x:f>SUMIF('Остатки_размеры'!$A$2:$A$251,A11,'Остатки_размеры'!$G$2:$G$251)</x:f>
        <x:v>44</x:v>
      </x:c>
      <x:c r="F11" s="80" t="n">
        <x:f>D11*1.5</x:f>
        <x:v>37.5</x:v>
      </x:c>
      <x:c r="G11" s="80" t="n">
        <x:f>MAX(F11-E11,0)</x:f>
        <x:v>0</x:v>
      </x:c>
      <x:c r="H11" s="80" t="n">
        <x:f>MAX(E11-F11,0)</x:f>
        <x:v>6.5</x:v>
      </x:c>
      <x:c r="I11" s="80" t="n">
        <x:f>H11*AVERAGEIF('Данные_месяцы'!$B$2:$B$301,A11,'Данные_месяцы'!$G$2:$G$301)</x:f>
        <x:v>11589.997242320156</x:v>
      </x:c>
      <x:c r="J11" s="76" t="str">
        <x:f>IF(G11&gt;0,"Дефицит",IF(H11&gt;0,"Избыток","Норма"))</x:f>
        <x:v>Избыток</x:v>
      </x:c>
      <x:c r="K11" s="76" t="str">
        <x:f>IF(G11&gt;0,"Пополнить прибыльные размеры",IF(H11&gt;0,"Снизить закупку или перераспределить","Поддерживать текущий запас"))</x:f>
        <x:v>Снизить закупку или перераспределить</x:v>
      </x:c>
    </x:row>
    <x:row r="12">
      <x:c r="A12" s="48" t="str">
        <x:v>UM-011</x:v>
      </x:c>
      <x:c r="B12" s="48" t="str">
        <x:v>Брючный классик</x:v>
      </x:c>
      <x:c r="C12" s="48" t="str">
        <x:v>Костюмы</x:v>
      </x:c>
      <x:c r="D12" s="80" t="n">
        <x:f>ROUND((SUMIFS('Данные_месяцы'!$K$2:$K$301,'Данные_месяцы'!$B$2:$B$301,A12,'Данные_месяцы'!$A$2:$A$301,"2025-12")*0.2+SUMIFS('Данные_месяцы'!$K$2:$K$301,'Данные_месяцы'!$B$2:$B$301,A12,'Данные_месяцы'!$A$2:$A$301,"2026-01")*0.3+SUMIFS('Данные_месяцы'!$K$2:$K$301,'Данные_месяцы'!$B$2:$B$301,A12,'Данные_месяцы'!$A$2:$A$301,"2026-02")*0.5)*VLOOKUP(C12,'Допущения'!$A$11:$B$16,2,FALSE),0)</x:f>
        <x:v>15</x:v>
      </x:c>
      <x:c r="E12" s="80" t="n">
        <x:f>SUMIF('Остатки_размеры'!$A$2:$A$251,A12,'Остатки_размеры'!$G$2:$G$251)</x:f>
        <x:v>57</x:v>
      </x:c>
      <x:c r="F12" s="80" t="n">
        <x:f>D12*1.5</x:f>
        <x:v>22.5</x:v>
      </x:c>
      <x:c r="G12" s="80" t="n">
        <x:f>MAX(F12-E12,0)</x:f>
        <x:v>0</x:v>
      </x:c>
      <x:c r="H12" s="80" t="n">
        <x:f>MAX(E12-F12,0)</x:f>
        <x:v>34.5</x:v>
      </x:c>
      <x:c r="I12" s="80" t="n">
        <x:f>H12*AVERAGEIF('Данные_месяцы'!$B$2:$B$301,A12,'Данные_месяцы'!$G$2:$G$301)</x:f>
        <x:v>61670.825871985006</x:v>
      </x:c>
      <x:c r="J12" s="76" t="str">
        <x:f>IF(G12&gt;0,"Дефицит",IF(H12&gt;0,"Избыток","Норма"))</x:f>
        <x:v>Избыток</x:v>
      </x:c>
      <x:c r="K12" s="76" t="str">
        <x:f>IF(G12&gt;0,"Пополнить прибыльные размеры",IF(H12&gt;0,"Снизить закупку или перераспределить","Поддерживать текущий запас"))</x:f>
        <x:v>Снизить закупку или перераспределить</x:v>
      </x:c>
    </x:row>
    <x:row r="13">
      <x:c r="A13" s="48" t="str">
        <x:v>UM-012</x:v>
      </x:c>
      <x:c r="B13" s="48" t="str">
        <x:v>Трикотажный комплект</x:v>
      </x:c>
      <x:c r="C13" s="48" t="str">
        <x:v>Костюмы</x:v>
      </x:c>
      <x:c r="D13" s="80" t="n">
        <x:f>ROUND((SUMIFS('Данные_месяцы'!$K$2:$K$301,'Данные_месяцы'!$B$2:$B$301,A13,'Данные_месяцы'!$A$2:$A$301,"2025-12")*0.2+SUMIFS('Данные_месяцы'!$K$2:$K$301,'Данные_месяцы'!$B$2:$B$301,A13,'Данные_месяцы'!$A$2:$A$301,"2026-01")*0.3+SUMIFS('Данные_месяцы'!$K$2:$K$301,'Данные_месяцы'!$B$2:$B$301,A13,'Данные_месяцы'!$A$2:$A$301,"2026-02")*0.5)*VLOOKUP(C13,'Допущения'!$A$11:$B$16,2,FALSE),0)</x:f>
        <x:v>39</x:v>
      </x:c>
      <x:c r="E13" s="80" t="n">
        <x:f>SUMIF('Остатки_размеры'!$A$2:$A$251,A13,'Остатки_размеры'!$G$2:$G$251)</x:f>
        <x:v>27</x:v>
      </x:c>
      <x:c r="F13" s="80" t="n">
        <x:f>D13*1.5</x:f>
        <x:v>58.5</x:v>
      </x:c>
      <x:c r="G13" s="80" t="n">
        <x:f>MAX(F13-E13,0)</x:f>
        <x:v>31.5</x:v>
      </x:c>
      <x:c r="H13" s="80" t="n">
        <x:f>MAX(E13-F13,0)</x:f>
        <x:v>0</x:v>
      </x:c>
      <x:c r="I13" s="80" t="n">
        <x:f>H13*AVERAGEIF('Данные_месяцы'!$B$2:$B$301,A13,'Данные_месяцы'!$G$2:$G$301)</x:f>
        <x:v>0</x:v>
      </x:c>
      <x:c r="J13" s="76" t="str">
        <x:f>IF(G13&gt;0,"Дефицит",IF(H13&gt;0,"Избыток","Норма"))</x:f>
        <x:v>Дефицит</x:v>
      </x:c>
      <x:c r="K13" s="76" t="str">
        <x:f>IF(G13&gt;0,"Пополнить прибыльные размеры",IF(H13&gt;0,"Снизить закупку или перераспределить","Поддерживать текущий запас"))</x:f>
        <x:v>Пополнить прибыльные размеры</x:v>
      </x:c>
    </x:row>
    <x:row r="14">
      <x:c r="A14" s="48" t="str">
        <x:v>UM-013</x:v>
      </x:c>
      <x:c r="B14" s="48" t="str">
        <x:v>Костюм-тройка</x:v>
      </x:c>
      <x:c r="C14" s="48" t="str">
        <x:v>Костюмы</x:v>
      </x:c>
      <x:c r="D14" s="80" t="n">
        <x:f>ROUND((SUMIFS('Данные_месяцы'!$K$2:$K$301,'Данные_месяцы'!$B$2:$B$301,A14,'Данные_месяцы'!$A$2:$A$301,"2025-12")*0.2+SUMIFS('Данные_месяцы'!$K$2:$K$301,'Данные_месяцы'!$B$2:$B$301,A14,'Данные_месяцы'!$A$2:$A$301,"2026-01")*0.3+SUMIFS('Данные_месяцы'!$K$2:$K$301,'Данные_месяцы'!$B$2:$B$301,A14,'Данные_месяцы'!$A$2:$A$301,"2026-02")*0.5)*VLOOKUP(C14,'Допущения'!$A$11:$B$16,2,FALSE),0)</x:f>
        <x:v>22</x:v>
      </x:c>
      <x:c r="E14" s="80" t="n">
        <x:f>SUMIF('Остатки_размеры'!$A$2:$A$251,A14,'Остатки_размеры'!$G$2:$G$251)</x:f>
        <x:v>70</x:v>
      </x:c>
      <x:c r="F14" s="80" t="n">
        <x:f>D14*1.5</x:f>
        <x:v>33</x:v>
      </x:c>
      <x:c r="G14" s="80" t="n">
        <x:f>MAX(F14-E14,0)</x:f>
        <x:v>0</x:v>
      </x:c>
      <x:c r="H14" s="80" t="n">
        <x:f>MAX(E14-F14,0)</x:f>
        <x:v>37</x:v>
      </x:c>
      <x:c r="I14" s="80" t="n">
        <x:f>H14*AVERAGEIF('Данные_месяцы'!$B$2:$B$301,A14,'Данные_месяцы'!$G$2:$G$301)</x:f>
        <x:v>56748.28472158743</x:v>
      </x:c>
      <x:c r="J14" s="76" t="str">
        <x:f>IF(G14&gt;0,"Дефицит",IF(H14&gt;0,"Избыток","Норма"))</x:f>
        <x:v>Избыток</x:v>
      </x:c>
      <x:c r="K14" s="76" t="str">
        <x:f>IF(G14&gt;0,"Пополнить прибыльные размеры",IF(H14&gt;0,"Снизить закупку или перераспределить","Поддерживать текущий запас"))</x:f>
        <x:v>Снизить закупку или перераспределить</x:v>
      </x:c>
    </x:row>
    <x:row r="15">
      <x:c r="A15" s="48" t="str">
        <x:v>UM-014</x:v>
      </x:c>
      <x:c r="B15" s="48" t="str">
        <x:v>Жакет и юбка</x:v>
      </x:c>
      <x:c r="C15" s="48" t="str">
        <x:v>Костюмы</x:v>
      </x:c>
      <x:c r="D15" s="80" t="n">
        <x:f>ROUND((SUMIFS('Данные_месяцы'!$K$2:$K$301,'Данные_месяцы'!$B$2:$B$301,A15,'Данные_месяцы'!$A$2:$A$301,"2025-12")*0.2+SUMIFS('Данные_месяцы'!$K$2:$K$301,'Данные_месяцы'!$B$2:$B$301,A15,'Данные_месяцы'!$A$2:$A$301,"2026-01")*0.3+SUMIFS('Данные_месяцы'!$K$2:$K$301,'Данные_месяцы'!$B$2:$B$301,A15,'Данные_месяцы'!$A$2:$A$301,"2026-02")*0.5)*VLOOKUP(C15,'Допущения'!$A$11:$B$16,2,FALSE),0)</x:f>
        <x:v>20</x:v>
      </x:c>
      <x:c r="E15" s="80" t="n">
        <x:f>SUMIF('Остатки_размеры'!$A$2:$A$251,A15,'Остатки_размеры'!$G$2:$G$251)</x:f>
        <x:v>40</x:v>
      </x:c>
      <x:c r="F15" s="80" t="n">
        <x:f>D15*1.5</x:f>
        <x:v>30</x:v>
      </x:c>
      <x:c r="G15" s="80" t="n">
        <x:f>MAX(F15-E15,0)</x:f>
        <x:v>0</x:v>
      </x:c>
      <x:c r="H15" s="80" t="n">
        <x:f>MAX(E15-F15,0)</x:f>
        <x:v>10</x:v>
      </x:c>
      <x:c r="I15" s="80" t="n">
        <x:f>H15*AVERAGEIF('Данные_месяцы'!$B$2:$B$301,A15,'Данные_месяцы'!$G$2:$G$301)</x:f>
        <x:v>19259.075375026256</x:v>
      </x:c>
      <x:c r="J15" s="76" t="str">
        <x:f>IF(G15&gt;0,"Дефицит",IF(H15&gt;0,"Избыток","Норма"))</x:f>
        <x:v>Избыток</x:v>
      </x:c>
      <x:c r="K15" s="76" t="str">
        <x:f>IF(G15&gt;0,"Пополнить прибыльные размеры",IF(H15&gt;0,"Снизить закупку или перераспределить","Поддерживать текущий запас"))</x:f>
        <x:v>Снизить закупку или перераспределить</x:v>
      </x:c>
    </x:row>
    <x:row r="16">
      <x:c r="A16" s="48" t="str">
        <x:v>UM-015</x:v>
      </x:c>
      <x:c r="B16" s="48" t="str">
        <x:v>Льняной комплект</x:v>
      </x:c>
      <x:c r="C16" s="48" t="str">
        <x:v>Костюмы</x:v>
      </x:c>
      <x:c r="D16" s="80" t="n">
        <x:f>ROUND((SUMIFS('Данные_месяцы'!$K$2:$K$301,'Данные_месяцы'!$B$2:$B$301,A16,'Данные_месяцы'!$A$2:$A$301,"2025-12")*0.2+SUMIFS('Данные_месяцы'!$K$2:$K$301,'Данные_месяцы'!$B$2:$B$301,A16,'Данные_месяцы'!$A$2:$A$301,"2026-01")*0.3+SUMIFS('Данные_месяцы'!$K$2:$K$301,'Данные_месяцы'!$B$2:$B$301,A16,'Данные_месяцы'!$A$2:$A$301,"2026-02")*0.5)*VLOOKUP(C16,'Допущения'!$A$11:$B$16,2,FALSE),0)</x:f>
        <x:v>25</x:v>
      </x:c>
      <x:c r="E16" s="80" t="n">
        <x:f>SUMIF('Остатки_размеры'!$A$2:$A$251,A16,'Остатки_размеры'!$G$2:$G$251)</x:f>
        <x:v>82</x:v>
      </x:c>
      <x:c r="F16" s="80" t="n">
        <x:f>D16*1.5</x:f>
        <x:v>37.5</x:v>
      </x:c>
      <x:c r="G16" s="80" t="n">
        <x:f>MAX(F16-E16,0)</x:f>
        <x:v>0</x:v>
      </x:c>
      <x:c r="H16" s="80" t="n">
        <x:f>MAX(E16-F16,0)</x:f>
        <x:v>44.5</x:v>
      </x:c>
      <x:c r="I16" s="80" t="n">
        <x:f>H16*AVERAGEIF('Данные_месяцы'!$B$2:$B$301,A16,'Данные_месяцы'!$G$2:$G$301)</x:f>
        <x:v>75900.6939977038</x:v>
      </x:c>
      <x:c r="J16" s="76" t="str">
        <x:f>IF(G16&gt;0,"Дефицит",IF(H16&gt;0,"Избыток","Норма"))</x:f>
        <x:v>Избыток</x:v>
      </x:c>
      <x:c r="K16" s="76" t="str">
        <x:f>IF(G16&gt;0,"Пополнить прибыльные размеры",IF(H16&gt;0,"Снизить закупку или перераспределить","Поддерживать текущий запас"))</x:f>
        <x:v>Снизить закупку или перераспределить</x:v>
      </x:c>
    </x:row>
    <x:row r="17">
      <x:c r="A17" s="48" t="str">
        <x:v>UM-016</x:v>
      </x:c>
      <x:c r="B17" s="48" t="str">
        <x:v>Костюм oversize</x:v>
      </x:c>
      <x:c r="C17" s="48" t="str">
        <x:v>Костюмы</x:v>
      </x:c>
      <x:c r="D17" s="80" t="n">
        <x:f>ROUND((SUMIFS('Данные_месяцы'!$K$2:$K$301,'Данные_месяцы'!$B$2:$B$301,A17,'Данные_месяцы'!$A$2:$A$301,"2025-12")*0.2+SUMIFS('Данные_месяцы'!$K$2:$K$301,'Данные_месяцы'!$B$2:$B$301,A17,'Данные_месяцы'!$A$2:$A$301,"2026-01")*0.3+SUMIFS('Данные_месяцы'!$K$2:$K$301,'Данные_месяцы'!$B$2:$B$301,A17,'Данные_месяцы'!$A$2:$A$301,"2026-02")*0.5)*VLOOKUP(C17,'Допущения'!$A$11:$B$16,2,FALSE),0)</x:f>
        <x:v>14</x:v>
      </x:c>
      <x:c r="E17" s="80" t="n">
        <x:f>SUMIF('Остатки_размеры'!$A$2:$A$251,A17,'Остатки_размеры'!$G$2:$G$251)</x:f>
        <x:v>24</x:v>
      </x:c>
      <x:c r="F17" s="80" t="n">
        <x:f>D17*1.5</x:f>
        <x:v>21</x:v>
      </x:c>
      <x:c r="G17" s="80" t="n">
        <x:f>MAX(F17-E17,0)</x:f>
        <x:v>0</x:v>
      </x:c>
      <x:c r="H17" s="80" t="n">
        <x:f>MAX(E17-F17,0)</x:f>
        <x:v>3</x:v>
      </x:c>
      <x:c r="I17" s="80" t="n">
        <x:f>H17*AVERAGEIF('Данные_месяцы'!$B$2:$B$301,A17,'Данные_месяцы'!$G$2:$G$301)</x:f>
        <x:v>5629.643166038395</x:v>
      </x:c>
      <x:c r="J17" s="76" t="str">
        <x:f>IF(G17&gt;0,"Дефицит",IF(H17&gt;0,"Избыток","Норма"))</x:f>
        <x:v>Избыток</x:v>
      </x:c>
      <x:c r="K17" s="76" t="str">
        <x:f>IF(G17&gt;0,"Пополнить прибыльные размеры",IF(H17&gt;0,"Снизить закупку или перераспределить","Поддерживать текущий запас"))</x:f>
        <x:v>Снизить закупку или перераспределить</x:v>
      </x:c>
    </x:row>
    <x:row r="18">
      <x:c r="A18" s="48" t="str">
        <x:v>UM-017</x:v>
      </x:c>
      <x:c r="B18" s="48" t="str">
        <x:v>Офисный комплект</x:v>
      </x:c>
      <x:c r="C18" s="48" t="str">
        <x:v>Костюмы</x:v>
      </x:c>
      <x:c r="D18" s="80" t="n">
        <x:f>ROUND((SUMIFS('Данные_месяцы'!$K$2:$K$301,'Данные_месяцы'!$B$2:$B$301,A18,'Данные_месяцы'!$A$2:$A$301,"2025-12")*0.2+SUMIFS('Данные_месяцы'!$K$2:$K$301,'Данные_месяцы'!$B$2:$B$301,A18,'Данные_месяцы'!$A$2:$A$301,"2026-01")*0.3+SUMIFS('Данные_месяцы'!$K$2:$K$301,'Данные_месяцы'!$B$2:$B$301,A18,'Данные_месяцы'!$A$2:$A$301,"2026-02")*0.5)*VLOOKUP(C18,'Допущения'!$A$11:$B$16,2,FALSE),0)</x:f>
        <x:v>30</x:v>
      </x:c>
      <x:c r="E18" s="80" t="n">
        <x:f>SUMIF('Остатки_размеры'!$A$2:$A$251,A18,'Остатки_размеры'!$G$2:$G$251)</x:f>
        <x:v>139</x:v>
      </x:c>
      <x:c r="F18" s="80" t="n">
        <x:f>D18*1.5</x:f>
        <x:v>45</x:v>
      </x:c>
      <x:c r="G18" s="80" t="n">
        <x:f>MAX(F18-E18,0)</x:f>
        <x:v>0</x:v>
      </x:c>
      <x:c r="H18" s="80" t="n">
        <x:f>MAX(E18-F18,0)</x:f>
        <x:v>94</x:v>
      </x:c>
      <x:c r="I18" s="80" t="n">
        <x:f>H18*AVERAGEIF('Данные_месяцы'!$B$2:$B$301,A18,'Данные_месяцы'!$G$2:$G$301)</x:f>
        <x:v>139607.38465692813</x:v>
      </x:c>
      <x:c r="J18" s="76" t="str">
        <x:f>IF(G18&gt;0,"Дефицит",IF(H18&gt;0,"Избыток","Норма"))</x:f>
        <x:v>Избыток</x:v>
      </x:c>
      <x:c r="K18" s="76" t="str">
        <x:f>IF(G18&gt;0,"Пополнить прибыльные размеры",IF(H18&gt;0,"Снизить закупку или перераспределить","Поддерживать текущий запас"))</x:f>
        <x:v>Снизить закупку или перераспределить</x:v>
      </x:c>
    </x:row>
    <x:row r="19">
      <x:c r="A19" s="48" t="str">
        <x:v>UM-018</x:v>
      </x:c>
      <x:c r="B19" s="48" t="str">
        <x:v>Костюм с жилетом</x:v>
      </x:c>
      <x:c r="C19" s="48" t="str">
        <x:v>Костюмы</x:v>
      </x:c>
      <x:c r="D19" s="80" t="n">
        <x:f>ROUND((SUMIFS('Данные_месяцы'!$K$2:$K$301,'Данные_месяцы'!$B$2:$B$301,A19,'Данные_месяцы'!$A$2:$A$301,"2025-12")*0.2+SUMIFS('Данные_месяцы'!$K$2:$K$301,'Данные_месяцы'!$B$2:$B$301,A19,'Данные_месяцы'!$A$2:$A$301,"2026-01")*0.3+SUMIFS('Данные_месяцы'!$K$2:$K$301,'Данные_месяцы'!$B$2:$B$301,A19,'Данные_месяцы'!$A$2:$A$301,"2026-02")*0.5)*VLOOKUP(C19,'Допущения'!$A$11:$B$16,2,FALSE),0)</x:f>
        <x:v>13</x:v>
      </x:c>
      <x:c r="E19" s="80" t="n">
        <x:f>SUMIF('Остатки_размеры'!$A$2:$A$251,A19,'Остатки_размеры'!$G$2:$G$251)</x:f>
        <x:v>42</x:v>
      </x:c>
      <x:c r="F19" s="80" t="n">
        <x:f>D19*1.5</x:f>
        <x:v>19.5</x:v>
      </x:c>
      <x:c r="G19" s="80" t="n">
        <x:f>MAX(F19-E19,0)</x:f>
        <x:v>0</x:v>
      </x:c>
      <x:c r="H19" s="80" t="n">
        <x:f>MAX(E19-F19,0)</x:f>
        <x:v>22.5</x:v>
      </x:c>
      <x:c r="I19" s="80" t="n">
        <x:f>H19*AVERAGEIF('Данные_месяцы'!$B$2:$B$301,A19,'Данные_месяцы'!$G$2:$G$301)</x:f>
        <x:v>46977.51494518809</x:v>
      </x:c>
      <x:c r="J19" s="76" t="str">
        <x:f>IF(G19&gt;0,"Дефицит",IF(H19&gt;0,"Избыток","Норма"))</x:f>
        <x:v>Избыток</x:v>
      </x:c>
      <x:c r="K19" s="76" t="str">
        <x:f>IF(G19&gt;0,"Пополнить прибыльные размеры",IF(H19&gt;0,"Снизить закупку или перераспределить","Поддерживать текущий запас"))</x:f>
        <x:v>Снизить закупку или перераспределить</x:v>
      </x:c>
    </x:row>
    <x:row r="20">
      <x:c r="A20" s="48" t="str">
        <x:v>UM-019</x:v>
      </x:c>
      <x:c r="B20" s="48" t="str">
        <x:v>Базовая рубашка</x:v>
      </x:c>
      <x:c r="C20" s="48" t="str">
        <x:v>Блузки</x:v>
      </x:c>
      <x:c r="D20" s="80" t="n">
        <x:f>ROUND((SUMIFS('Данные_месяцы'!$K$2:$K$301,'Данные_месяцы'!$B$2:$B$301,A20,'Данные_месяцы'!$A$2:$A$301,"2025-12")*0.2+SUMIFS('Данные_месяцы'!$K$2:$K$301,'Данные_месяцы'!$B$2:$B$301,A20,'Данные_месяцы'!$A$2:$A$301,"2026-01")*0.3+SUMIFS('Данные_месяцы'!$K$2:$K$301,'Данные_месяцы'!$B$2:$B$301,A20,'Данные_месяцы'!$A$2:$A$301,"2026-02")*0.5)*VLOOKUP(C20,'Допущения'!$A$11:$B$16,2,FALSE),0)</x:f>
        <x:v>30</x:v>
      </x:c>
      <x:c r="E20" s="80" t="n">
        <x:f>SUMIF('Остатки_размеры'!$A$2:$A$251,A20,'Остатки_размеры'!$G$2:$G$251)</x:f>
        <x:v>109</x:v>
      </x:c>
      <x:c r="F20" s="80" t="n">
        <x:f>D20*1.5</x:f>
        <x:v>45</x:v>
      </x:c>
      <x:c r="G20" s="80" t="n">
        <x:f>MAX(F20-E20,0)</x:f>
        <x:v>0</x:v>
      </x:c>
      <x:c r="H20" s="80" t="n">
        <x:f>MAX(E20-F20,0)</x:f>
        <x:v>64</x:v>
      </x:c>
      <x:c r="I20" s="80" t="n">
        <x:f>H20*AVERAGEIF('Данные_месяцы'!$B$2:$B$301,A20,'Данные_месяцы'!$G$2:$G$301)</x:f>
        <x:v>45185.336980272994</x:v>
      </x:c>
      <x:c r="J20" s="76" t="str">
        <x:f>IF(G20&gt;0,"Дефицит",IF(H20&gt;0,"Избыток","Норма"))</x:f>
        <x:v>Избыток</x:v>
      </x:c>
      <x:c r="K20" s="76" t="str">
        <x:f>IF(G20&gt;0,"Пополнить прибыльные размеры",IF(H20&gt;0,"Снизить закупку или перераспределить","Поддерживать текущий запас"))</x:f>
        <x:v>Снизить закупку или перераспределить</x:v>
      </x:c>
    </x:row>
    <x:row r="21">
      <x:c r="A21" s="48" t="str">
        <x:v>UM-020</x:v>
      </x:c>
      <x:c r="B21" s="48" t="str">
        <x:v>Блузка с бантом</x:v>
      </x:c>
      <x:c r="C21" s="48" t="str">
        <x:v>Блузки</x:v>
      </x:c>
      <x:c r="D21" s="80" t="n">
        <x:f>ROUND((SUMIFS('Данные_месяцы'!$K$2:$K$301,'Данные_месяцы'!$B$2:$B$301,A21,'Данные_месяцы'!$A$2:$A$301,"2025-12")*0.2+SUMIFS('Данные_месяцы'!$K$2:$K$301,'Данные_месяцы'!$B$2:$B$301,A21,'Данные_месяцы'!$A$2:$A$301,"2026-01")*0.3+SUMIFS('Данные_месяцы'!$K$2:$K$301,'Данные_месяцы'!$B$2:$B$301,A21,'Данные_месяцы'!$A$2:$A$301,"2026-02")*0.5)*VLOOKUP(C21,'Допущения'!$A$11:$B$16,2,FALSE),0)</x:f>
        <x:v>46</x:v>
      </x:c>
      <x:c r="E21" s="80" t="n">
        <x:f>SUMIF('Остатки_размеры'!$A$2:$A$251,A21,'Остатки_размеры'!$G$2:$G$251)</x:f>
        <x:v>24</x:v>
      </x:c>
      <x:c r="F21" s="80" t="n">
        <x:f>D21*1.5</x:f>
        <x:v>69</x:v>
      </x:c>
      <x:c r="G21" s="80" t="n">
        <x:f>MAX(F21-E21,0)</x:f>
        <x:v>45</x:v>
      </x:c>
      <x:c r="H21" s="80" t="n">
        <x:f>MAX(E21-F21,0)</x:f>
        <x:v>0</x:v>
      </x:c>
      <x:c r="I21" s="80" t="n">
        <x:f>H21*AVERAGEIF('Данные_месяцы'!$B$2:$B$301,A21,'Данные_месяцы'!$G$2:$G$301)</x:f>
        <x:v>0</x:v>
      </x:c>
      <x:c r="J21" s="76" t="str">
        <x:f>IF(G21&gt;0,"Дефицит",IF(H21&gt;0,"Избыток","Норма"))</x:f>
        <x:v>Дефицит</x:v>
      </x:c>
      <x:c r="K21" s="76" t="str">
        <x:f>IF(G21&gt;0,"Пополнить прибыльные размеры",IF(H21&gt;0,"Снизить закупку или перераспределить","Поддерживать текущий запас"))</x:f>
        <x:v>Пополнить прибыльные размеры</x:v>
      </x:c>
    </x:row>
    <x:row r="22">
      <x:c r="A22" s="48" t="str">
        <x:v>UM-021</x:v>
      </x:c>
      <x:c r="B22" s="48" t="str">
        <x:v>Шёлковая блузка</x:v>
      </x:c>
      <x:c r="C22" s="48" t="str">
        <x:v>Блузки</x:v>
      </x:c>
      <x:c r="D22" s="80" t="n">
        <x:f>ROUND((SUMIFS('Данные_месяцы'!$K$2:$K$301,'Данные_месяцы'!$B$2:$B$301,A22,'Данные_месяцы'!$A$2:$A$301,"2025-12")*0.2+SUMIFS('Данные_месяцы'!$K$2:$K$301,'Данные_месяцы'!$B$2:$B$301,A22,'Данные_месяцы'!$A$2:$A$301,"2026-01")*0.3+SUMIFS('Данные_месяцы'!$K$2:$K$301,'Данные_месяцы'!$B$2:$B$301,A22,'Данные_месяцы'!$A$2:$A$301,"2026-02")*0.5)*VLOOKUP(C22,'Допущения'!$A$11:$B$16,2,FALSE),0)</x:f>
        <x:v>24</x:v>
      </x:c>
      <x:c r="E22" s="80" t="n">
        <x:f>SUMIF('Остатки_размеры'!$A$2:$A$251,A22,'Остатки_размеры'!$G$2:$G$251)</x:f>
        <x:v>48</x:v>
      </x:c>
      <x:c r="F22" s="80" t="n">
        <x:f>D22*1.5</x:f>
        <x:v>36</x:v>
      </x:c>
      <x:c r="G22" s="80" t="n">
        <x:f>MAX(F22-E22,0)</x:f>
        <x:v>0</x:v>
      </x:c>
      <x:c r="H22" s="80" t="n">
        <x:f>MAX(E22-F22,0)</x:f>
        <x:v>12</x:v>
      </x:c>
      <x:c r="I22" s="80" t="n">
        <x:f>H22*AVERAGEIF('Данные_месяцы'!$B$2:$B$301,A22,'Данные_месяцы'!$G$2:$G$301)</x:f>
        <x:v>12853.316266459133</x:v>
      </x:c>
      <x:c r="J22" s="76" t="str">
        <x:f>IF(G22&gt;0,"Дефицит",IF(H22&gt;0,"Избыток","Норма"))</x:f>
        <x:v>Избыток</x:v>
      </x:c>
      <x:c r="K22" s="76" t="str">
        <x:f>IF(G22&gt;0,"Пополнить прибыльные размеры",IF(H22&gt;0,"Снизить закупку или перераспределить","Поддерживать текущий запас"))</x:f>
        <x:v>Снизить закупку или перераспределить</x:v>
      </x:c>
    </x:row>
    <x:row r="23">
      <x:c r="A23" s="48" t="str">
        <x:v>UM-022</x:v>
      </x:c>
      <x:c r="B23" s="48" t="str">
        <x:v>Рубашка oversize</x:v>
      </x:c>
      <x:c r="C23" s="48" t="str">
        <x:v>Блузки</x:v>
      </x:c>
      <x:c r="D23" s="80" t="n">
        <x:f>ROUND((SUMIFS('Данные_месяцы'!$K$2:$K$301,'Данные_месяцы'!$B$2:$B$301,A23,'Данные_месяцы'!$A$2:$A$301,"2025-12")*0.2+SUMIFS('Данные_месяцы'!$K$2:$K$301,'Данные_месяцы'!$B$2:$B$301,A23,'Данные_месяцы'!$A$2:$A$301,"2026-01")*0.3+SUMIFS('Данные_месяцы'!$K$2:$K$301,'Данные_месяцы'!$B$2:$B$301,A23,'Данные_месяцы'!$A$2:$A$301,"2026-02")*0.5)*VLOOKUP(C23,'Допущения'!$A$11:$B$16,2,FALSE),0)</x:f>
        <x:v>23</x:v>
      </x:c>
      <x:c r="E23" s="80" t="n">
        <x:f>SUMIF('Остатки_размеры'!$A$2:$A$251,A23,'Остатки_размеры'!$G$2:$G$251)</x:f>
        <x:v>39</x:v>
      </x:c>
      <x:c r="F23" s="80" t="n">
        <x:f>D23*1.5</x:f>
        <x:v>34.5</x:v>
      </x:c>
      <x:c r="G23" s="80" t="n">
        <x:f>MAX(F23-E23,0)</x:f>
        <x:v>0</x:v>
      </x:c>
      <x:c r="H23" s="80" t="n">
        <x:f>MAX(E23-F23,0)</x:f>
        <x:v>4.5</x:v>
      </x:c>
      <x:c r="I23" s="80" t="n">
        <x:f>H23*AVERAGEIF('Данные_месяцы'!$B$2:$B$301,A23,'Данные_месяцы'!$G$2:$G$301)</x:f>
        <x:v>3892.739020249906</x:v>
      </x:c>
      <x:c r="J23" s="76" t="str">
        <x:f>IF(G23&gt;0,"Дефицит",IF(H23&gt;0,"Избыток","Норма"))</x:f>
        <x:v>Избыток</x:v>
      </x:c>
      <x:c r="K23" s="76" t="str">
        <x:f>IF(G23&gt;0,"Пополнить прибыльные размеры",IF(H23&gt;0,"Снизить закупку или перераспределить","Поддерживать текущий запас"))</x:f>
        <x:v>Снизить закупку или перераспределить</x:v>
      </x:c>
    </x:row>
    <x:row r="24">
      <x:c r="A24" s="48" t="str">
        <x:v>UM-023</x:v>
      </x:c>
      <x:c r="B24" s="48" t="str">
        <x:v>Блузка с воланами</x:v>
      </x:c>
      <x:c r="C24" s="48" t="str">
        <x:v>Блузки</x:v>
      </x:c>
      <x:c r="D24" s="80" t="n">
        <x:f>ROUND((SUMIFS('Данные_месяцы'!$K$2:$K$301,'Данные_месяцы'!$B$2:$B$301,A24,'Данные_месяцы'!$A$2:$A$301,"2025-12")*0.2+SUMIFS('Данные_месяцы'!$K$2:$K$301,'Данные_месяцы'!$B$2:$B$301,A24,'Данные_месяцы'!$A$2:$A$301,"2026-01")*0.3+SUMIFS('Данные_месяцы'!$K$2:$K$301,'Данные_месяцы'!$B$2:$B$301,A24,'Данные_месяцы'!$A$2:$A$301,"2026-02")*0.5)*VLOOKUP(C24,'Допущения'!$A$11:$B$16,2,FALSE),0)</x:f>
        <x:v>28</x:v>
      </x:c>
      <x:c r="E24" s="80" t="n">
        <x:f>SUMIF('Остатки_размеры'!$A$2:$A$251,A24,'Остатки_размеры'!$G$2:$G$251)</x:f>
        <x:v>47</x:v>
      </x:c>
      <x:c r="F24" s="80" t="n">
        <x:f>D24*1.5</x:f>
        <x:v>42</x:v>
      </x:c>
      <x:c r="G24" s="80" t="n">
        <x:f>MAX(F24-E24,0)</x:f>
        <x:v>0</x:v>
      </x:c>
      <x:c r="H24" s="80" t="n">
        <x:f>MAX(E24-F24,0)</x:f>
        <x:v>5</x:v>
      </x:c>
      <x:c r="I24" s="80" t="n">
        <x:f>H24*AVERAGEIF('Данные_месяцы'!$B$2:$B$301,A24,'Данные_месяцы'!$G$2:$G$301)</x:f>
        <x:v>3037.48054060681</x:v>
      </x:c>
      <x:c r="J24" s="76" t="str">
        <x:f>IF(G24&gt;0,"Дефицит",IF(H24&gt;0,"Избыток","Норма"))</x:f>
        <x:v>Избыток</x:v>
      </x:c>
      <x:c r="K24" s="76" t="str">
        <x:f>IF(G24&gt;0,"Пополнить прибыльные размеры",IF(H24&gt;0,"Снизить закупку или перераспределить","Поддерживать текущий запас"))</x:f>
        <x:v>Снизить закупку или перераспределить</x:v>
      </x:c>
    </x:row>
    <x:row r="25">
      <x:c r="A25" s="48" t="str">
        <x:v>UM-024</x:v>
      </x:c>
      <x:c r="B25" s="48" t="str">
        <x:v>Топ с длинным рукавом</x:v>
      </x:c>
      <x:c r="C25" s="48" t="str">
        <x:v>Блузки</x:v>
      </x:c>
      <x:c r="D25" s="80" t="n">
        <x:f>ROUND((SUMIFS('Данные_месяцы'!$K$2:$K$301,'Данные_месяцы'!$B$2:$B$301,A25,'Данные_месяцы'!$A$2:$A$301,"2025-12")*0.2+SUMIFS('Данные_месяцы'!$K$2:$K$301,'Данные_месяцы'!$B$2:$B$301,A25,'Данные_месяцы'!$A$2:$A$301,"2026-01")*0.3+SUMIFS('Данные_месяцы'!$K$2:$K$301,'Данные_месяцы'!$B$2:$B$301,A25,'Данные_месяцы'!$A$2:$A$301,"2026-02")*0.5)*VLOOKUP(C25,'Допущения'!$A$11:$B$16,2,FALSE),0)</x:f>
        <x:v>19</x:v>
      </x:c>
      <x:c r="E25" s="80" t="n">
        <x:f>SUMIF('Остатки_размеры'!$A$2:$A$251,A25,'Остатки_размеры'!$G$2:$G$251)</x:f>
        <x:v>69</x:v>
      </x:c>
      <x:c r="F25" s="80" t="n">
        <x:f>D25*1.5</x:f>
        <x:v>28.5</x:v>
      </x:c>
      <x:c r="G25" s="80" t="n">
        <x:f>MAX(F25-E25,0)</x:f>
        <x:v>0</x:v>
      </x:c>
      <x:c r="H25" s="80" t="n">
        <x:f>MAX(E25-F25,0)</x:f>
        <x:v>40.5</x:v>
      </x:c>
      <x:c r="I25" s="80" t="n">
        <x:f>H25*AVERAGEIF('Данные_месяцы'!$B$2:$B$301,A25,'Данные_месяцы'!$G$2:$G$301)</x:f>
        <x:v>45941.09141480784</x:v>
      </x:c>
      <x:c r="J25" s="76" t="str">
        <x:f>IF(G25&gt;0,"Дефицит",IF(H25&gt;0,"Избыток","Норма"))</x:f>
        <x:v>Избыток</x:v>
      </x:c>
      <x:c r="K25" s="76" t="str">
        <x:f>IF(G25&gt;0,"Пополнить прибыльные размеры",IF(H25&gt;0,"Снизить закупку или перераспределить","Поддерживать текущий запас"))</x:f>
        <x:v>Снизить закупку или перераспределить</x:v>
      </x:c>
    </x:row>
    <x:row r="26">
      <x:c r="A26" s="48" t="str">
        <x:v>UM-025</x:v>
      </x:c>
      <x:c r="B26" s="48" t="str">
        <x:v>Блузка в полоску</x:v>
      </x:c>
      <x:c r="C26" s="48" t="str">
        <x:v>Блузки</x:v>
      </x:c>
      <x:c r="D26" s="80" t="n">
        <x:f>ROUND((SUMIFS('Данные_месяцы'!$K$2:$K$301,'Данные_месяцы'!$B$2:$B$301,A26,'Данные_месяцы'!$A$2:$A$301,"2025-12")*0.2+SUMIFS('Данные_месяцы'!$K$2:$K$301,'Данные_месяцы'!$B$2:$B$301,A26,'Данные_месяцы'!$A$2:$A$301,"2026-01")*0.3+SUMIFS('Данные_месяцы'!$K$2:$K$301,'Данные_месяцы'!$B$2:$B$301,A26,'Данные_месяцы'!$A$2:$A$301,"2026-02")*0.5)*VLOOKUP(C26,'Допущения'!$A$11:$B$16,2,FALSE),0)</x:f>
        <x:v>27</x:v>
      </x:c>
      <x:c r="E26" s="80" t="n">
        <x:f>SUMIF('Остатки_размеры'!$A$2:$A$251,A26,'Остатки_размеры'!$G$2:$G$251)</x:f>
        <x:v>50</x:v>
      </x:c>
      <x:c r="F26" s="80" t="n">
        <x:f>D26*1.5</x:f>
        <x:v>40.5</x:v>
      </x:c>
      <x:c r="G26" s="80" t="n">
        <x:f>MAX(F26-E26,0)</x:f>
        <x:v>0</x:v>
      </x:c>
      <x:c r="H26" s="80" t="n">
        <x:f>MAX(E26-F26,0)</x:f>
        <x:v>9.5</x:v>
      </x:c>
      <x:c r="I26" s="80" t="n">
        <x:f>H26*AVERAGEIF('Данные_месяцы'!$B$2:$B$301,A26,'Данные_месяцы'!$G$2:$G$301)</x:f>
        <x:v>6951.951205151365</x:v>
      </x:c>
      <x:c r="J26" s="76" t="str">
        <x:f>IF(G26&gt;0,"Дефицит",IF(H26&gt;0,"Избыток","Норма"))</x:f>
        <x:v>Избыток</x:v>
      </x:c>
      <x:c r="K26" s="76" t="str">
        <x:f>IF(G26&gt;0,"Пополнить прибыльные размеры",IF(H26&gt;0,"Снизить закупку или перераспределить","Поддерживать текущий запас"))</x:f>
        <x:v>Снизить закупку или перераспределить</x:v>
      </x:c>
    </x:row>
    <x:row r="27">
      <x:c r="A27" s="48" t="str">
        <x:v>UM-026</x:v>
      </x:c>
      <x:c r="B27" s="48" t="str">
        <x:v>Боди-рубашка</x:v>
      </x:c>
      <x:c r="C27" s="48" t="str">
        <x:v>Блузки</x:v>
      </x:c>
      <x:c r="D27" s="80" t="n">
        <x:f>ROUND((SUMIFS('Данные_месяцы'!$K$2:$K$301,'Данные_месяцы'!$B$2:$B$301,A27,'Данные_месяцы'!$A$2:$A$301,"2025-12")*0.2+SUMIFS('Данные_месяцы'!$K$2:$K$301,'Данные_месяцы'!$B$2:$B$301,A27,'Данные_месяцы'!$A$2:$A$301,"2026-01")*0.3+SUMIFS('Данные_месяцы'!$K$2:$K$301,'Данные_месяцы'!$B$2:$B$301,A27,'Данные_месяцы'!$A$2:$A$301,"2026-02")*0.5)*VLOOKUP(C27,'Допущения'!$A$11:$B$16,2,FALSE),0)</x:f>
        <x:v>34</x:v>
      </x:c>
      <x:c r="E27" s="80" t="n">
        <x:f>SUMIF('Остатки_размеры'!$A$2:$A$251,A27,'Остатки_размеры'!$G$2:$G$251)</x:f>
        <x:v>47</x:v>
      </x:c>
      <x:c r="F27" s="80" t="n">
        <x:f>D27*1.5</x:f>
        <x:v>51</x:v>
      </x:c>
      <x:c r="G27" s="80" t="n">
        <x:f>MAX(F27-E27,0)</x:f>
        <x:v>4</x:v>
      </x:c>
      <x:c r="H27" s="80" t="n">
        <x:f>MAX(E27-F27,0)</x:f>
        <x:v>0</x:v>
      </x:c>
      <x:c r="I27" s="80" t="n">
        <x:f>H27*AVERAGEIF('Данные_месяцы'!$B$2:$B$301,A27,'Данные_месяцы'!$G$2:$G$301)</x:f>
        <x:v>0</x:v>
      </x:c>
      <x:c r="J27" s="76" t="str">
        <x:f>IF(G27&gt;0,"Дефицит",IF(H27&gt;0,"Избыток","Норма"))</x:f>
        <x:v>Дефицит</x:v>
      </x:c>
      <x:c r="K27" s="76" t="str">
        <x:f>IF(G27&gt;0,"Пополнить прибыльные размеры",IF(H27&gt;0,"Снизить закупку или перераспределить","Поддерживать текущий запас"))</x:f>
        <x:v>Пополнить прибыльные размеры</x:v>
      </x:c>
    </x:row>
    <x:row r="28">
      <x:c r="A28" s="48" t="str">
        <x:v>UM-027</x:v>
      </x:c>
      <x:c r="B28" s="48" t="str">
        <x:v>Палаццо</x:v>
      </x:c>
      <x:c r="C28" s="48" t="str">
        <x:v>Брюки</x:v>
      </x:c>
      <x:c r="D28" s="80" t="n">
        <x:f>ROUND((SUMIFS('Данные_месяцы'!$K$2:$K$301,'Данные_месяцы'!$B$2:$B$301,A28,'Данные_месяцы'!$A$2:$A$301,"2025-12")*0.2+SUMIFS('Данные_месяцы'!$K$2:$K$301,'Данные_месяцы'!$B$2:$B$301,A28,'Данные_месяцы'!$A$2:$A$301,"2026-01")*0.3+SUMIFS('Данные_месяцы'!$K$2:$K$301,'Данные_месяцы'!$B$2:$B$301,A28,'Данные_месяцы'!$A$2:$A$301,"2026-02")*0.5)*VLOOKUP(C28,'Допущения'!$A$11:$B$16,2,FALSE),0)</x:f>
        <x:v>15</x:v>
      </x:c>
      <x:c r="E28" s="80" t="n">
        <x:f>SUMIF('Остатки_размеры'!$A$2:$A$251,A28,'Остатки_размеры'!$G$2:$G$251)</x:f>
        <x:v>21</x:v>
      </x:c>
      <x:c r="F28" s="80" t="n">
        <x:f>D28*1.5</x:f>
        <x:v>22.5</x:v>
      </x:c>
      <x:c r="G28" s="80" t="n">
        <x:f>MAX(F28-E28,0)</x:f>
        <x:v>1.5</x:v>
      </x:c>
      <x:c r="H28" s="80" t="n">
        <x:f>MAX(E28-F28,0)</x:f>
        <x:v>0</x:v>
      </x:c>
      <x:c r="I28" s="80" t="n">
        <x:f>H28*AVERAGEIF('Данные_месяцы'!$B$2:$B$301,A28,'Данные_месяцы'!$G$2:$G$301)</x:f>
        <x:v>0</x:v>
      </x:c>
      <x:c r="J28" s="76" t="str">
        <x:f>IF(G28&gt;0,"Дефицит",IF(H28&gt;0,"Избыток","Норма"))</x:f>
        <x:v>Дефицит</x:v>
      </x:c>
      <x:c r="K28" s="76" t="str">
        <x:f>IF(G28&gt;0,"Пополнить прибыльные размеры",IF(H28&gt;0,"Снизить закупку или перераспределить","Поддерживать текущий запас"))</x:f>
        <x:v>Пополнить прибыльные размеры</x:v>
      </x:c>
    </x:row>
    <x:row r="29">
      <x:c r="A29" s="48" t="str">
        <x:v>UM-028</x:v>
      </x:c>
      <x:c r="B29" s="48" t="str">
        <x:v>Классические прямые</x:v>
      </x:c>
      <x:c r="C29" s="48" t="str">
        <x:v>Брюки</x:v>
      </x:c>
      <x:c r="D29" s="80" t="n">
        <x:f>ROUND((SUMIFS('Данные_месяцы'!$K$2:$K$301,'Данные_месяцы'!$B$2:$B$301,A29,'Данные_месяцы'!$A$2:$A$301,"2025-12")*0.2+SUMIFS('Данные_месяцы'!$K$2:$K$301,'Данные_месяцы'!$B$2:$B$301,A29,'Данные_месяцы'!$A$2:$A$301,"2026-01")*0.3+SUMIFS('Данные_месяцы'!$K$2:$K$301,'Данные_месяцы'!$B$2:$B$301,A29,'Данные_месяцы'!$A$2:$A$301,"2026-02")*0.5)*VLOOKUP(C29,'Допущения'!$A$11:$B$16,2,FALSE),0)</x:f>
        <x:v>22</x:v>
      </x:c>
      <x:c r="E29" s="80" t="n">
        <x:f>SUMIF('Остатки_размеры'!$A$2:$A$251,A29,'Остатки_размеры'!$G$2:$G$251)</x:f>
        <x:v>31</x:v>
      </x:c>
      <x:c r="F29" s="80" t="n">
        <x:f>D29*1.5</x:f>
        <x:v>33</x:v>
      </x:c>
      <x:c r="G29" s="80" t="n">
        <x:f>MAX(F29-E29,0)</x:f>
        <x:v>2</x:v>
      </x:c>
      <x:c r="H29" s="80" t="n">
        <x:f>MAX(E29-F29,0)</x:f>
        <x:v>0</x:v>
      </x:c>
      <x:c r="I29" s="80" t="n">
        <x:f>H29*AVERAGEIF('Данные_месяцы'!$B$2:$B$301,A29,'Данные_месяцы'!$G$2:$G$301)</x:f>
        <x:v>0</x:v>
      </x:c>
      <x:c r="J29" s="76" t="str">
        <x:f>IF(G29&gt;0,"Дефицит",IF(H29&gt;0,"Избыток","Норма"))</x:f>
        <x:v>Дефицит</x:v>
      </x:c>
      <x:c r="K29" s="76" t="str">
        <x:f>IF(G29&gt;0,"Пополнить прибыльные размеры",IF(H29&gt;0,"Снизить закупку или перераспределить","Поддерживать текущий запас"))</x:f>
        <x:v>Пополнить прибыльные размеры</x:v>
      </x:c>
    </x:row>
    <x:row r="30">
      <x:c r="A30" s="48" t="str">
        <x:v>UM-029</x:v>
      </x:c>
      <x:c r="B30" s="48" t="str">
        <x:v>Карго</x:v>
      </x:c>
      <x:c r="C30" s="48" t="str">
        <x:v>Брюки</x:v>
      </x:c>
      <x:c r="D30" s="80" t="n">
        <x:f>ROUND((SUMIFS('Данные_месяцы'!$K$2:$K$301,'Данные_месяцы'!$B$2:$B$301,A30,'Данные_месяцы'!$A$2:$A$301,"2025-12")*0.2+SUMIFS('Данные_месяцы'!$K$2:$K$301,'Данные_месяцы'!$B$2:$B$301,A30,'Данные_месяцы'!$A$2:$A$301,"2026-01")*0.3+SUMIFS('Данные_месяцы'!$K$2:$K$301,'Данные_месяцы'!$B$2:$B$301,A30,'Данные_месяцы'!$A$2:$A$301,"2026-02")*0.5)*VLOOKUP(C30,'Допущения'!$A$11:$B$16,2,FALSE),0)</x:f>
        <x:v>14</x:v>
      </x:c>
      <x:c r="E30" s="80" t="n">
        <x:f>SUMIF('Остатки_размеры'!$A$2:$A$251,A30,'Остатки_размеры'!$G$2:$G$251)</x:f>
        <x:v>21</x:v>
      </x:c>
      <x:c r="F30" s="80" t="n">
        <x:f>D30*1.5</x:f>
        <x:v>21</x:v>
      </x:c>
      <x:c r="G30" s="80" t="n">
        <x:f>MAX(F30-E30,0)</x:f>
        <x:v>0</x:v>
      </x:c>
      <x:c r="H30" s="80" t="n">
        <x:f>MAX(E30-F30,0)</x:f>
        <x:v>0</x:v>
      </x:c>
      <x:c r="I30" s="80" t="n">
        <x:f>H30*AVERAGEIF('Данные_месяцы'!$B$2:$B$301,A30,'Данные_месяцы'!$G$2:$G$301)</x:f>
        <x:v>0</x:v>
      </x:c>
      <x:c r="J30" s="76" t="str">
        <x:f>IF(G30&gt;0,"Дефицит",IF(H30&gt;0,"Избыток","Норма"))</x:f>
        <x:v>Норма</x:v>
      </x:c>
      <x:c r="K30" s="76" t="str">
        <x:f>IF(G30&gt;0,"Пополнить прибыльные размеры",IF(H30&gt;0,"Снизить закупку или перераспределить","Поддерживать текущий запас"))</x:f>
        <x:v>Поддерживать текущий запас</x:v>
      </x:c>
    </x:row>
    <x:row r="31">
      <x:c r="A31" s="48" t="str">
        <x:v>UM-030</x:v>
      </x:c>
      <x:c r="B31" s="48" t="str">
        <x:v>Брюки со стрелками</x:v>
      </x:c>
      <x:c r="C31" s="48" t="str">
        <x:v>Брюки</x:v>
      </x:c>
      <x:c r="D31" s="80" t="n">
        <x:f>ROUND((SUMIFS('Данные_месяцы'!$K$2:$K$301,'Данные_месяцы'!$B$2:$B$301,A31,'Данные_месяцы'!$A$2:$A$301,"2025-12")*0.2+SUMIFS('Данные_месяцы'!$K$2:$K$301,'Данные_месяцы'!$B$2:$B$301,A31,'Данные_месяцы'!$A$2:$A$301,"2026-01")*0.3+SUMIFS('Данные_месяцы'!$K$2:$K$301,'Данные_месяцы'!$B$2:$B$301,A31,'Данные_месяцы'!$A$2:$A$301,"2026-02")*0.5)*VLOOKUP(C31,'Допущения'!$A$11:$B$16,2,FALSE),0)</x:f>
        <x:v>15</x:v>
      </x:c>
      <x:c r="E31" s="80" t="n">
        <x:f>SUMIF('Остатки_размеры'!$A$2:$A$251,A31,'Остатки_размеры'!$G$2:$G$251)</x:f>
        <x:v>28</x:v>
      </x:c>
      <x:c r="F31" s="80" t="n">
        <x:f>D31*1.5</x:f>
        <x:v>22.5</x:v>
      </x:c>
      <x:c r="G31" s="80" t="n">
        <x:f>MAX(F31-E31,0)</x:f>
        <x:v>0</x:v>
      </x:c>
      <x:c r="H31" s="80" t="n">
        <x:f>MAX(E31-F31,0)</x:f>
        <x:v>5.5</x:v>
      </x:c>
      <x:c r="I31" s="80" t="n">
        <x:f>H31*AVERAGEIF('Данные_месяцы'!$B$2:$B$301,A31,'Данные_месяцы'!$G$2:$G$301)</x:f>
        <x:v>4091.4324494981115</x:v>
      </x:c>
      <x:c r="J31" s="76" t="str">
        <x:f>IF(G31&gt;0,"Дефицит",IF(H31&gt;0,"Избыток","Норма"))</x:f>
        <x:v>Избыток</x:v>
      </x:c>
      <x:c r="K31" s="76" t="str">
        <x:f>IF(G31&gt;0,"Пополнить прибыльные размеры",IF(H31&gt;0,"Снизить закупку или перераспределить","Поддерживать текущий запас"))</x:f>
        <x:v>Снизить закупку или перераспределить</x:v>
      </x:c>
    </x:row>
    <x:row r="32">
      <x:c r="A32" s="48" t="str">
        <x:v>UM-031</x:v>
      </x:c>
      <x:c r="B32" s="48" t="str">
        <x:v>Джоггеры</x:v>
      </x:c>
      <x:c r="C32" s="48" t="str">
        <x:v>Брюки</x:v>
      </x:c>
      <x:c r="D32" s="80" t="n">
        <x:f>ROUND((SUMIFS('Данные_месяцы'!$K$2:$K$301,'Данные_месяцы'!$B$2:$B$301,A32,'Данные_месяцы'!$A$2:$A$301,"2025-12")*0.2+SUMIFS('Данные_месяцы'!$K$2:$K$301,'Данные_месяцы'!$B$2:$B$301,A32,'Данные_месяцы'!$A$2:$A$301,"2026-01")*0.3+SUMIFS('Данные_месяцы'!$K$2:$K$301,'Данные_месяцы'!$B$2:$B$301,A32,'Данные_месяцы'!$A$2:$A$301,"2026-02")*0.5)*VLOOKUP(C32,'Допущения'!$A$11:$B$16,2,FALSE),0)</x:f>
        <x:v>30</x:v>
      </x:c>
      <x:c r="E32" s="80" t="n">
        <x:f>SUMIF('Остатки_размеры'!$A$2:$A$251,A32,'Остатки_размеры'!$G$2:$G$251)</x:f>
        <x:v>48</x:v>
      </x:c>
      <x:c r="F32" s="80" t="n">
        <x:f>D32*1.5</x:f>
        <x:v>45</x:v>
      </x:c>
      <x:c r="G32" s="80" t="n">
        <x:f>MAX(F32-E32,0)</x:f>
        <x:v>0</x:v>
      </x:c>
      <x:c r="H32" s="80" t="n">
        <x:f>MAX(E32-F32,0)</x:f>
        <x:v>3</x:v>
      </x:c>
      <x:c r="I32" s="80" t="n">
        <x:f>H32*AVERAGEIF('Данные_месяцы'!$B$2:$B$301,A32,'Данные_месяцы'!$G$2:$G$301)</x:f>
        <x:v>3351.2930914709586</x:v>
      </x:c>
      <x:c r="J32" s="76" t="str">
        <x:f>IF(G32&gt;0,"Дефицит",IF(H32&gt;0,"Избыток","Норма"))</x:f>
        <x:v>Избыток</x:v>
      </x:c>
      <x:c r="K32" s="76" t="str">
        <x:f>IF(G32&gt;0,"Пополнить прибыльные размеры",IF(H32&gt;0,"Снизить закупку или перераспределить","Поддерживать текущий запас"))</x:f>
        <x:v>Снизить закупку или перераспределить</x:v>
      </x:c>
    </x:row>
    <x:row r="33">
      <x:c r="A33" s="48" t="str">
        <x:v>UM-032</x:v>
      </x:c>
      <x:c r="B33" s="48" t="str">
        <x:v>Зауженные офисные</x:v>
      </x:c>
      <x:c r="C33" s="48" t="str">
        <x:v>Брюки</x:v>
      </x:c>
      <x:c r="D33" s="80" t="n">
        <x:f>ROUND((SUMIFS('Данные_месяцы'!$K$2:$K$301,'Данные_месяцы'!$B$2:$B$301,A33,'Данные_месяцы'!$A$2:$A$301,"2025-12")*0.2+SUMIFS('Данные_месяцы'!$K$2:$K$301,'Данные_месяцы'!$B$2:$B$301,A33,'Данные_месяцы'!$A$2:$A$301,"2026-01")*0.3+SUMIFS('Данные_месяцы'!$K$2:$K$301,'Данные_месяцы'!$B$2:$B$301,A33,'Данные_месяцы'!$A$2:$A$301,"2026-02")*0.5)*VLOOKUP(C33,'Допущения'!$A$11:$B$16,2,FALSE),0)</x:f>
        <x:v>17</x:v>
      </x:c>
      <x:c r="E33" s="80" t="n">
        <x:f>SUMIF('Остатки_размеры'!$A$2:$A$251,A33,'Остатки_размеры'!$G$2:$G$251)</x:f>
        <x:v>23</x:v>
      </x:c>
      <x:c r="F33" s="80" t="n">
        <x:f>D33*1.5</x:f>
        <x:v>25.5</x:v>
      </x:c>
      <x:c r="G33" s="80" t="n">
        <x:f>MAX(F33-E33,0)</x:f>
        <x:v>2.5</x:v>
      </x:c>
      <x:c r="H33" s="80" t="n">
        <x:f>MAX(E33-F33,0)</x:f>
        <x:v>0</x:v>
      </x:c>
      <x:c r="I33" s="80" t="n">
        <x:f>H33*AVERAGEIF('Данные_месяцы'!$B$2:$B$301,A33,'Данные_месяцы'!$G$2:$G$301)</x:f>
        <x:v>0</x:v>
      </x:c>
      <x:c r="J33" s="76" t="str">
        <x:f>IF(G33&gt;0,"Дефицит",IF(H33&gt;0,"Избыток","Норма"))</x:f>
        <x:v>Дефицит</x:v>
      </x:c>
      <x:c r="K33" s="76" t="str">
        <x:f>IF(G33&gt;0,"Пополнить прибыльные размеры",IF(H33&gt;0,"Снизить закупку или перераспределить","Поддерживать текущий запас"))</x:f>
        <x:v>Пополнить прибыльные размеры</x:v>
      </x:c>
    </x:row>
    <x:row r="34">
      <x:c r="A34" s="48" t="str">
        <x:v>UM-033</x:v>
      </x:c>
      <x:c r="B34" s="48" t="str">
        <x:v>Широкие костюмные</x:v>
      </x:c>
      <x:c r="C34" s="48" t="str">
        <x:v>Брюки</x:v>
      </x:c>
      <x:c r="D34" s="80" t="n">
        <x:f>ROUND((SUMIFS('Данные_месяцы'!$K$2:$K$301,'Данные_месяцы'!$B$2:$B$301,A34,'Данные_месяцы'!$A$2:$A$301,"2025-12")*0.2+SUMIFS('Данные_месяцы'!$K$2:$K$301,'Данные_месяцы'!$B$2:$B$301,A34,'Данные_месяцы'!$A$2:$A$301,"2026-01")*0.3+SUMIFS('Данные_месяцы'!$K$2:$K$301,'Данные_месяцы'!$B$2:$B$301,A34,'Данные_месяцы'!$A$2:$A$301,"2026-02")*0.5)*VLOOKUP(C34,'Допущения'!$A$11:$B$16,2,FALSE),0)</x:f>
        <x:v>23</x:v>
      </x:c>
      <x:c r="E34" s="80" t="n">
        <x:f>SUMIF('Остатки_размеры'!$A$2:$A$251,A34,'Остатки_размеры'!$G$2:$G$251)</x:f>
        <x:v>41</x:v>
      </x:c>
      <x:c r="F34" s="80" t="n">
        <x:f>D34*1.5</x:f>
        <x:v>34.5</x:v>
      </x:c>
      <x:c r="G34" s="80" t="n">
        <x:f>MAX(F34-E34,0)</x:f>
        <x:v>0</x:v>
      </x:c>
      <x:c r="H34" s="80" t="n">
        <x:f>MAX(E34-F34,0)</x:f>
        <x:v>6.5</x:v>
      </x:c>
      <x:c r="I34" s="80" t="n">
        <x:f>H34*AVERAGEIF('Данные_месяцы'!$B$2:$B$301,A34,'Данные_месяцы'!$G$2:$G$301)</x:f>
        <x:v>5145.7321695157125</x:v>
      </x:c>
      <x:c r="J34" s="76" t="str">
        <x:f>IF(G34&gt;0,"Дефицит",IF(H34&gt;0,"Избыток","Норма"))</x:f>
        <x:v>Избыток</x:v>
      </x:c>
      <x:c r="K34" s="76" t="str">
        <x:f>IF(G34&gt;0,"Пополнить прибыльные размеры",IF(H34&gt;0,"Снизить закупку или перераспределить","Поддерживать текущий запас"))</x:f>
        <x:v>Снизить закупку или перераспределить</x:v>
      </x:c>
    </x:row>
    <x:row r="35">
      <x:c r="A35" s="48" t="str">
        <x:v>UM-034</x:v>
      </x:c>
      <x:c r="B35" s="48" t="str">
        <x:v>Брюки из экокожи</x:v>
      </x:c>
      <x:c r="C35" s="48" t="str">
        <x:v>Брюки</x:v>
      </x:c>
      <x:c r="D35" s="80" t="n">
        <x:f>ROUND((SUMIFS('Данные_месяцы'!$K$2:$K$301,'Данные_месяцы'!$B$2:$B$301,A35,'Данные_месяцы'!$A$2:$A$301,"2025-12")*0.2+SUMIFS('Данные_месяцы'!$K$2:$K$301,'Данные_месяцы'!$B$2:$B$301,A35,'Данные_месяцы'!$A$2:$A$301,"2026-01")*0.3+SUMIFS('Данные_месяцы'!$K$2:$K$301,'Данные_месяцы'!$B$2:$B$301,A35,'Данные_месяцы'!$A$2:$A$301,"2026-02")*0.5)*VLOOKUP(C35,'Допущения'!$A$11:$B$16,2,FALSE),0)</x:f>
        <x:v>30</x:v>
      </x:c>
      <x:c r="E35" s="80" t="n">
        <x:f>SUMIF('Остатки_размеры'!$A$2:$A$251,A35,'Остатки_размеры'!$G$2:$G$251)</x:f>
        <x:v>41</x:v>
      </x:c>
      <x:c r="F35" s="80" t="n">
        <x:f>D35*1.5</x:f>
        <x:v>45</x:v>
      </x:c>
      <x:c r="G35" s="80" t="n">
        <x:f>MAX(F35-E35,0)</x:f>
        <x:v>4</x:v>
      </x:c>
      <x:c r="H35" s="80" t="n">
        <x:f>MAX(E35-F35,0)</x:f>
        <x:v>0</x:v>
      </x:c>
      <x:c r="I35" s="80" t="n">
        <x:f>H35*AVERAGEIF('Данные_месяцы'!$B$2:$B$301,A35,'Данные_месяцы'!$G$2:$G$301)</x:f>
        <x:v>0</x:v>
      </x:c>
      <x:c r="J35" s="76" t="str">
        <x:f>IF(G35&gt;0,"Дефицит",IF(H35&gt;0,"Избыток","Норма"))</x:f>
        <x:v>Дефицит</x:v>
      </x:c>
      <x:c r="K35" s="76" t="str">
        <x:f>IF(G35&gt;0,"Пополнить прибыльные размеры",IF(H35&gt;0,"Снизить закупку или перераспределить","Поддерживать текущий запас"))</x:f>
        <x:v>Пополнить прибыльные размеры</x:v>
      </x:c>
    </x:row>
    <x:row r="36">
      <x:c r="A36" s="48" t="str">
        <x:v>UM-035</x:v>
      </x:c>
      <x:c r="B36" s="48" t="str">
        <x:v>Водолазка</x:v>
      </x:c>
      <x:c r="C36" s="48" t="str">
        <x:v>Трикотаж</x:v>
      </x:c>
      <x:c r="D36" s="80" t="n">
        <x:f>ROUND((SUMIFS('Данные_месяцы'!$K$2:$K$301,'Данные_месяцы'!$B$2:$B$301,A36,'Данные_месяцы'!$A$2:$A$301,"2025-12")*0.2+SUMIFS('Данные_месяцы'!$K$2:$K$301,'Данные_месяцы'!$B$2:$B$301,A36,'Данные_месяцы'!$A$2:$A$301,"2026-01")*0.3+SUMIFS('Данные_месяцы'!$K$2:$K$301,'Данные_месяцы'!$B$2:$B$301,A36,'Данные_месяцы'!$A$2:$A$301,"2026-02")*0.5)*VLOOKUP(C36,'Допущения'!$A$11:$B$16,2,FALSE),0)</x:f>
        <x:v>30</x:v>
      </x:c>
      <x:c r="E36" s="80" t="n">
        <x:f>SUMIF('Остатки_размеры'!$A$2:$A$251,A36,'Остатки_размеры'!$G$2:$G$251)</x:f>
        <x:v>114</x:v>
      </x:c>
      <x:c r="F36" s="80" t="n">
        <x:f>D36*1.5</x:f>
        <x:v>45</x:v>
      </x:c>
      <x:c r="G36" s="80" t="n">
        <x:f>MAX(F36-E36,0)</x:f>
        <x:v>0</x:v>
      </x:c>
      <x:c r="H36" s="80" t="n">
        <x:f>MAX(E36-F36,0)</x:f>
        <x:v>69</x:v>
      </x:c>
      <x:c r="I36" s="80" t="n">
        <x:f>H36*AVERAGEIF('Данные_месяцы'!$B$2:$B$301,A36,'Данные_месяцы'!$G$2:$G$301)</x:f>
        <x:v>50995.33786245812</x:v>
      </x:c>
      <x:c r="J36" s="76" t="str">
        <x:f>IF(G36&gt;0,"Дефицит",IF(H36&gt;0,"Избыток","Норма"))</x:f>
        <x:v>Избыток</x:v>
      </x:c>
      <x:c r="K36" s="76" t="str">
        <x:f>IF(G36&gt;0,"Пополнить прибыльные размеры",IF(H36&gt;0,"Снизить закупку или перераспределить","Поддерживать текущий запас"))</x:f>
        <x:v>Снизить закупку или перераспределить</x:v>
      </x:c>
    </x:row>
    <x:row r="37">
      <x:c r="A37" s="48" t="str">
        <x:v>UM-036</x:v>
      </x:c>
      <x:c r="B37" s="48" t="str">
        <x:v>Кардиган</x:v>
      </x:c>
      <x:c r="C37" s="48" t="str">
        <x:v>Трикотаж</x:v>
      </x:c>
      <x:c r="D37" s="80" t="n">
        <x:f>ROUND((SUMIFS('Данные_месяцы'!$K$2:$K$301,'Данные_месяцы'!$B$2:$B$301,A37,'Данные_месяцы'!$A$2:$A$301,"2025-12")*0.2+SUMIFS('Данные_месяцы'!$K$2:$K$301,'Данные_месяцы'!$B$2:$B$301,A37,'Данные_месяцы'!$A$2:$A$301,"2026-01")*0.3+SUMIFS('Данные_месяцы'!$K$2:$K$301,'Данные_месяцы'!$B$2:$B$301,A37,'Данные_месяцы'!$A$2:$A$301,"2026-02")*0.5)*VLOOKUP(C37,'Допущения'!$A$11:$B$16,2,FALSE),0)</x:f>
        <x:v>22</x:v>
      </x:c>
      <x:c r="E37" s="80" t="n">
        <x:f>SUMIF('Остатки_размеры'!$A$2:$A$251,A37,'Остатки_размеры'!$G$2:$G$251)</x:f>
        <x:v>30</x:v>
      </x:c>
      <x:c r="F37" s="80" t="n">
        <x:f>D37*1.5</x:f>
        <x:v>33</x:v>
      </x:c>
      <x:c r="G37" s="80" t="n">
        <x:f>MAX(F37-E37,0)</x:f>
        <x:v>3</x:v>
      </x:c>
      <x:c r="H37" s="80" t="n">
        <x:f>MAX(E37-F37,0)</x:f>
        <x:v>0</x:v>
      </x:c>
      <x:c r="I37" s="80" t="n">
        <x:f>H37*AVERAGEIF('Данные_месяцы'!$B$2:$B$301,A37,'Данные_месяцы'!$G$2:$G$301)</x:f>
        <x:v>0</x:v>
      </x:c>
      <x:c r="J37" s="76" t="str">
        <x:f>IF(G37&gt;0,"Дефицит",IF(H37&gt;0,"Избыток","Норма"))</x:f>
        <x:v>Дефицит</x:v>
      </x:c>
      <x:c r="K37" s="76" t="str">
        <x:f>IF(G37&gt;0,"Пополнить прибыльные размеры",IF(H37&gt;0,"Снизить закупку или перераспределить","Поддерживать текущий запас"))</x:f>
        <x:v>Пополнить прибыльные размеры</x:v>
      </x:c>
    </x:row>
    <x:row r="38">
      <x:c r="A38" s="48" t="str">
        <x:v>UM-037</x:v>
      </x:c>
      <x:c r="B38" s="48" t="str">
        <x:v>Джемпер oversize</x:v>
      </x:c>
      <x:c r="C38" s="48" t="str">
        <x:v>Трикотаж</x:v>
      </x:c>
      <x:c r="D38" s="80" t="n">
        <x:f>ROUND((SUMIFS('Данные_месяцы'!$K$2:$K$301,'Данные_месяцы'!$B$2:$B$301,A38,'Данные_месяцы'!$A$2:$A$301,"2025-12")*0.2+SUMIFS('Данные_месяцы'!$K$2:$K$301,'Данные_месяцы'!$B$2:$B$301,A38,'Данные_месяцы'!$A$2:$A$301,"2026-01")*0.3+SUMIFS('Данные_месяцы'!$K$2:$K$301,'Данные_месяцы'!$B$2:$B$301,A38,'Данные_месяцы'!$A$2:$A$301,"2026-02")*0.5)*VLOOKUP(C38,'Допущения'!$A$11:$B$16,2,FALSE),0)</x:f>
        <x:v>25</x:v>
      </x:c>
      <x:c r="E38" s="80" t="n">
        <x:f>SUMIF('Остатки_размеры'!$A$2:$A$251,A38,'Остатки_размеры'!$G$2:$G$251)</x:f>
        <x:v>44</x:v>
      </x:c>
      <x:c r="F38" s="80" t="n">
        <x:f>D38*1.5</x:f>
        <x:v>37.5</x:v>
      </x:c>
      <x:c r="G38" s="80" t="n">
        <x:f>MAX(F38-E38,0)</x:f>
        <x:v>0</x:v>
      </x:c>
      <x:c r="H38" s="80" t="n">
        <x:f>MAX(E38-F38,0)</x:f>
        <x:v>6.5</x:v>
      </x:c>
      <x:c r="I38" s="80" t="n">
        <x:f>H38*AVERAGEIF('Данные_месяцы'!$B$2:$B$301,A38,'Данные_месяцы'!$G$2:$G$301)</x:f>
        <x:v>6400.668922355774</x:v>
      </x:c>
      <x:c r="J38" s="76" t="str">
        <x:f>IF(G38&gt;0,"Дефицит",IF(H38&gt;0,"Избыток","Норма"))</x:f>
        <x:v>Избыток</x:v>
      </x:c>
      <x:c r="K38" s="76" t="str">
        <x:f>IF(G38&gt;0,"Пополнить прибыльные размеры",IF(H38&gt;0,"Снизить закупку или перераспределить","Поддерживать текущий запас"))</x:f>
        <x:v>Снизить закупку или перераспределить</x:v>
      </x:c>
    </x:row>
    <x:row r="39">
      <x:c r="A39" s="48" t="str">
        <x:v>UM-038</x:v>
      </x:c>
      <x:c r="B39" s="48" t="str">
        <x:v>Свитер с воротом</x:v>
      </x:c>
      <x:c r="C39" s="48" t="str">
        <x:v>Трикотаж</x:v>
      </x:c>
      <x:c r="D39" s="80" t="n">
        <x:f>ROUND((SUMIFS('Данные_месяцы'!$K$2:$K$301,'Данные_месяцы'!$B$2:$B$301,A39,'Данные_месяцы'!$A$2:$A$301,"2025-12")*0.2+SUMIFS('Данные_месяцы'!$K$2:$K$301,'Данные_месяцы'!$B$2:$B$301,A39,'Данные_месяцы'!$A$2:$A$301,"2026-01")*0.3+SUMIFS('Данные_месяцы'!$K$2:$K$301,'Данные_месяцы'!$B$2:$B$301,A39,'Данные_месяцы'!$A$2:$A$301,"2026-02")*0.5)*VLOOKUP(C39,'Допущения'!$A$11:$B$16,2,FALSE),0)</x:f>
        <x:v>19</x:v>
      </x:c>
      <x:c r="E39" s="80" t="n">
        <x:f>SUMIF('Остатки_размеры'!$A$2:$A$251,A39,'Остатки_размеры'!$G$2:$G$251)</x:f>
        <x:v>32</x:v>
      </x:c>
      <x:c r="F39" s="80" t="n">
        <x:f>D39*1.5</x:f>
        <x:v>28.5</x:v>
      </x:c>
      <x:c r="G39" s="80" t="n">
        <x:f>MAX(F39-E39,0)</x:f>
        <x:v>0</x:v>
      </x:c>
      <x:c r="H39" s="80" t="n">
        <x:f>MAX(E39-F39,0)</x:f>
        <x:v>3.5</x:v>
      </x:c>
      <x:c r="I39" s="80" t="n">
        <x:f>H39*AVERAGEIF('Данные_месяцы'!$B$2:$B$301,A39,'Данные_месяцы'!$G$2:$G$301)</x:f>
        <x:v>4778.028151969154</x:v>
      </x:c>
      <x:c r="J39" s="76" t="str">
        <x:f>IF(G39&gt;0,"Дефицит",IF(H39&gt;0,"Избыток","Норма"))</x:f>
        <x:v>Избыток</x:v>
      </x:c>
      <x:c r="K39" s="76" t="str">
        <x:f>IF(G39&gt;0,"Пополнить прибыльные размеры",IF(H39&gt;0,"Снизить закупку или перераспределить","Поддерживать текущий запас"))</x:f>
        <x:v>Снизить закупку или перераспределить</x:v>
      </x:c>
    </x:row>
    <x:row r="40">
      <x:c r="A40" s="48" t="str">
        <x:v>UM-039</x:v>
      </x:c>
      <x:c r="B40" s="48" t="str">
        <x:v>Трикотажный топ</x:v>
      </x:c>
      <x:c r="C40" s="48" t="str">
        <x:v>Трикотаж</x:v>
      </x:c>
      <x:c r="D40" s="80" t="n">
        <x:f>ROUND((SUMIFS('Данные_месяцы'!$K$2:$K$301,'Данные_месяцы'!$B$2:$B$301,A40,'Данные_месяцы'!$A$2:$A$301,"2025-12")*0.2+SUMIFS('Данные_месяцы'!$K$2:$K$301,'Данные_месяцы'!$B$2:$B$301,A40,'Данные_месяцы'!$A$2:$A$301,"2026-01")*0.3+SUMIFS('Данные_месяцы'!$K$2:$K$301,'Данные_месяцы'!$B$2:$B$301,A40,'Данные_месяцы'!$A$2:$A$301,"2026-02")*0.5)*VLOOKUP(C40,'Допущения'!$A$11:$B$16,2,FALSE),0)</x:f>
        <x:v>13</x:v>
      </x:c>
      <x:c r="E40" s="80" t="n">
        <x:f>SUMIF('Остатки_размеры'!$A$2:$A$251,A40,'Остатки_размеры'!$G$2:$G$251)</x:f>
        <x:v>41</x:v>
      </x:c>
      <x:c r="F40" s="80" t="n">
        <x:f>D40*1.5</x:f>
        <x:v>19.5</x:v>
      </x:c>
      <x:c r="G40" s="80" t="n">
        <x:f>MAX(F40-E40,0)</x:f>
        <x:v>0</x:v>
      </x:c>
      <x:c r="H40" s="80" t="n">
        <x:f>MAX(E40-F40,0)</x:f>
        <x:v>21.5</x:v>
      </x:c>
      <x:c r="I40" s="80" t="n">
        <x:f>H40*AVERAGEIF('Данные_месяцы'!$B$2:$B$301,A40,'Данные_месяцы'!$G$2:$G$301)</x:f>
        <x:v>17088.300219918525</x:v>
      </x:c>
      <x:c r="J40" s="76" t="str">
        <x:f>IF(G40&gt;0,"Дефицит",IF(H40&gt;0,"Избыток","Норма"))</x:f>
        <x:v>Избыток</x:v>
      </x:c>
      <x:c r="K40" s="76" t="str">
        <x:f>IF(G40&gt;0,"Пополнить прибыльные размеры",IF(H40&gt;0,"Снизить закупку или перераспределить","Поддерживать текущий запас"))</x:f>
        <x:v>Снизить закупку или перераспределить</x:v>
      </x:c>
    </x:row>
    <x:row r="41">
      <x:c r="A41" s="48" t="str">
        <x:v>UM-040</x:v>
      </x:c>
      <x:c r="B41" s="48" t="str">
        <x:v>Пуловер V-neck</x:v>
      </x:c>
      <x:c r="C41" s="48" t="str">
        <x:v>Трикотаж</x:v>
      </x:c>
      <x:c r="D41" s="80" t="n">
        <x:f>ROUND((SUMIFS('Данные_месяцы'!$K$2:$K$301,'Данные_месяцы'!$B$2:$B$301,A41,'Данные_месяцы'!$A$2:$A$301,"2025-12")*0.2+SUMIFS('Данные_месяцы'!$K$2:$K$301,'Данные_месяцы'!$B$2:$B$301,A41,'Данные_месяцы'!$A$2:$A$301,"2026-01")*0.3+SUMIFS('Данные_месяцы'!$K$2:$K$301,'Данные_месяцы'!$B$2:$B$301,A41,'Данные_месяцы'!$A$2:$A$301,"2026-02")*0.5)*VLOOKUP(C41,'Допущения'!$A$11:$B$16,2,FALSE),0)</x:f>
        <x:v>30</x:v>
      </x:c>
      <x:c r="E41" s="80" t="n">
        <x:f>SUMIF('Остатки_размеры'!$A$2:$A$251,A41,'Остатки_размеры'!$G$2:$G$251)</x:f>
        <x:v>20</x:v>
      </x:c>
      <x:c r="F41" s="80" t="n">
        <x:f>D41*1.5</x:f>
        <x:v>45</x:v>
      </x:c>
      <x:c r="G41" s="80" t="n">
        <x:f>MAX(F41-E41,0)</x:f>
        <x:v>25</x:v>
      </x:c>
      <x:c r="H41" s="80" t="n">
        <x:f>MAX(E41-F41,0)</x:f>
        <x:v>0</x:v>
      </x:c>
      <x:c r="I41" s="80" t="n">
        <x:f>H41*AVERAGEIF('Данные_месяцы'!$B$2:$B$301,A41,'Данные_месяцы'!$G$2:$G$301)</x:f>
        <x:v>0</x:v>
      </x:c>
      <x:c r="J41" s="76" t="str">
        <x:f>IF(G41&gt;0,"Дефицит",IF(H41&gt;0,"Избыток","Норма"))</x:f>
        <x:v>Дефицит</x:v>
      </x:c>
      <x:c r="K41" s="76" t="str">
        <x:f>IF(G41&gt;0,"Пополнить прибыльные размеры",IF(H41&gt;0,"Снизить закупку или перераспределить","Поддерживать текущий запас"))</x:f>
        <x:v>Пополнить прибыльные размеры</x:v>
      </x:c>
    </x:row>
    <x:row r="42">
      <x:c r="A42" s="48" t="str">
        <x:v>UM-041</x:v>
      </x:c>
      <x:c r="B42" s="48" t="str">
        <x:v>Жилет трикотажный</x:v>
      </x:c>
      <x:c r="C42" s="48" t="str">
        <x:v>Трикотаж</x:v>
      </x:c>
      <x:c r="D42" s="80" t="n">
        <x:f>ROUND((SUMIFS('Данные_месяцы'!$K$2:$K$301,'Данные_месяцы'!$B$2:$B$301,A42,'Данные_месяцы'!$A$2:$A$301,"2025-12")*0.2+SUMIFS('Данные_месяцы'!$K$2:$K$301,'Данные_месяцы'!$B$2:$B$301,A42,'Данные_месяцы'!$A$2:$A$301,"2026-01")*0.3+SUMIFS('Данные_месяцы'!$K$2:$K$301,'Данные_месяцы'!$B$2:$B$301,A42,'Данные_месяцы'!$A$2:$A$301,"2026-02")*0.5)*VLOOKUP(C42,'Допущения'!$A$11:$B$16,2,FALSE),0)</x:f>
        <x:v>19</x:v>
      </x:c>
      <x:c r="E42" s="80" t="n">
        <x:f>SUMIF('Остатки_размеры'!$A$2:$A$251,A42,'Остатки_размеры'!$G$2:$G$251)</x:f>
        <x:v>88</x:v>
      </x:c>
      <x:c r="F42" s="80" t="n">
        <x:f>D42*1.5</x:f>
        <x:v>28.5</x:v>
      </x:c>
      <x:c r="G42" s="80" t="n">
        <x:f>MAX(F42-E42,0)</x:f>
        <x:v>0</x:v>
      </x:c>
      <x:c r="H42" s="80" t="n">
        <x:f>MAX(E42-F42,0)</x:f>
        <x:v>59.5</x:v>
      </x:c>
      <x:c r="I42" s="80" t="n">
        <x:f>H42*AVERAGEIF('Данные_месяцы'!$B$2:$B$301,A42,'Данные_месяцы'!$G$2:$G$301)</x:f>
        <x:v>37286.25259733931</x:v>
      </x:c>
      <x:c r="J42" s="76" t="str">
        <x:f>IF(G42&gt;0,"Дефицит",IF(H42&gt;0,"Избыток","Норма"))</x:f>
        <x:v>Избыток</x:v>
      </x:c>
      <x:c r="K42" s="76" t="str">
        <x:f>IF(G42&gt;0,"Пополнить прибыльные размеры",IF(H42&gt;0,"Снизить закупку или перераспределить","Поддерживать текущий запас"))</x:f>
        <x:v>Снизить закупку или перераспределить</x:v>
      </x:c>
    </x:row>
    <x:row r="43">
      <x:c r="A43" s="48" t="str">
        <x:v>UM-042</x:v>
      </x:c>
      <x:c r="B43" s="48" t="str">
        <x:v>Лонгслив</x:v>
      </x:c>
      <x:c r="C43" s="48" t="str">
        <x:v>Трикотаж</x:v>
      </x:c>
      <x:c r="D43" s="80" t="n">
        <x:f>ROUND((SUMIFS('Данные_месяцы'!$K$2:$K$301,'Данные_месяцы'!$B$2:$B$301,A43,'Данные_месяцы'!$A$2:$A$301,"2025-12")*0.2+SUMIFS('Данные_месяцы'!$K$2:$K$301,'Данные_месяцы'!$B$2:$B$301,A43,'Данные_месяцы'!$A$2:$A$301,"2026-01")*0.3+SUMIFS('Данные_месяцы'!$K$2:$K$301,'Данные_месяцы'!$B$2:$B$301,A43,'Данные_месяцы'!$A$2:$A$301,"2026-02")*0.5)*VLOOKUP(C43,'Допущения'!$A$11:$B$16,2,FALSE),0)</x:f>
        <x:v>33</x:v>
      </x:c>
      <x:c r="E43" s="80" t="n">
        <x:f>SUMIF('Остатки_размеры'!$A$2:$A$251,A43,'Остатки_размеры'!$G$2:$G$251)</x:f>
        <x:v>141</x:v>
      </x:c>
      <x:c r="F43" s="80" t="n">
        <x:f>D43*1.5</x:f>
        <x:v>49.5</x:v>
      </x:c>
      <x:c r="G43" s="80" t="n">
        <x:f>MAX(F43-E43,0)</x:f>
        <x:v>0</x:v>
      </x:c>
      <x:c r="H43" s="80" t="n">
        <x:f>MAX(E43-F43,0)</x:f>
        <x:v>91.5</x:v>
      </x:c>
      <x:c r="I43" s="80" t="n">
        <x:f>H43*AVERAGEIF('Данные_месяцы'!$B$2:$B$301,A43,'Данные_месяцы'!$G$2:$G$301)</x:f>
        <x:v>77464.07248164843</x:v>
      </x:c>
      <x:c r="J43" s="76" t="str">
        <x:f>IF(G43&gt;0,"Дефицит",IF(H43&gt;0,"Избыток","Норма"))</x:f>
        <x:v>Избыток</x:v>
      </x:c>
      <x:c r="K43" s="76" t="str">
        <x:f>IF(G43&gt;0,"Пополнить прибыльные размеры",IF(H43&gt;0,"Снизить закупку или перераспределить","Поддерживать текущий запас"))</x:f>
        <x:v>Снизить закупку или перераспределить</x:v>
      </x:c>
    </x:row>
    <x:row r="44">
      <x:c r="A44" s="48" t="str">
        <x:v>UM-043</x:v>
      </x:c>
      <x:c r="B44" s="48" t="str">
        <x:v>Пальто демисезонное</x:v>
      </x:c>
      <x:c r="C44" s="48" t="str">
        <x:v>Верхняя одежда</x:v>
      </x:c>
      <x:c r="D44" s="80" t="n">
        <x:f>ROUND((SUMIFS('Данные_месяцы'!$K$2:$K$301,'Данные_месяцы'!$B$2:$B$301,A44,'Данные_месяцы'!$A$2:$A$301,"2025-12")*0.2+SUMIFS('Данные_месяцы'!$K$2:$K$301,'Данные_месяцы'!$B$2:$B$301,A44,'Данные_месяцы'!$A$2:$A$301,"2026-01")*0.3+SUMIFS('Данные_месяцы'!$K$2:$K$301,'Данные_месяцы'!$B$2:$B$301,A44,'Данные_месяцы'!$A$2:$A$301,"2026-02")*0.5)*VLOOKUP(C44,'Допущения'!$A$11:$B$16,2,FALSE),0)</x:f>
        <x:v>24</x:v>
      </x:c>
      <x:c r="E44" s="80" t="n">
        <x:f>SUMIF('Остатки_размеры'!$A$2:$A$251,A44,'Остатки_размеры'!$G$2:$G$251)</x:f>
        <x:v>45</x:v>
      </x:c>
      <x:c r="F44" s="80" t="n">
        <x:f>D44*1.5</x:f>
        <x:v>36</x:v>
      </x:c>
      <x:c r="G44" s="80" t="n">
        <x:f>MAX(F44-E44,0)</x:f>
        <x:v>0</x:v>
      </x:c>
      <x:c r="H44" s="80" t="n">
        <x:f>MAX(E44-F44,0)</x:f>
        <x:v>9</x:v>
      </x:c>
      <x:c r="I44" s="80" t="n">
        <x:f>H44*AVERAGEIF('Данные_месяцы'!$B$2:$B$301,A44,'Данные_месяцы'!$G$2:$G$301)</x:f>
        <x:v>22091.369862951546</x:v>
      </x:c>
      <x:c r="J44" s="76" t="str">
        <x:f>IF(G44&gt;0,"Дефицит",IF(H44&gt;0,"Избыток","Норма"))</x:f>
        <x:v>Избыток</x:v>
      </x:c>
      <x:c r="K44" s="76" t="str">
        <x:f>IF(G44&gt;0,"Пополнить прибыльные размеры",IF(H44&gt;0,"Снизить закупку или перераспределить","Поддерживать текущий запас"))</x:f>
        <x:v>Снизить закупку или перераспределить</x:v>
      </x:c>
    </x:row>
    <x:row r="45">
      <x:c r="A45" s="48" t="str">
        <x:v>UM-044</x:v>
      </x:c>
      <x:c r="B45" s="48" t="str">
        <x:v>Куртка стёганая</x:v>
      </x:c>
      <x:c r="C45" s="48" t="str">
        <x:v>Верхняя одежда</x:v>
      </x:c>
      <x:c r="D45" s="80" t="n">
        <x:f>ROUND((SUMIFS('Данные_месяцы'!$K$2:$K$301,'Данные_месяцы'!$B$2:$B$301,A45,'Данные_месяцы'!$A$2:$A$301,"2025-12")*0.2+SUMIFS('Данные_месяцы'!$K$2:$K$301,'Данные_месяцы'!$B$2:$B$301,A45,'Данные_месяцы'!$A$2:$A$301,"2026-01")*0.3+SUMIFS('Данные_месяцы'!$K$2:$K$301,'Данные_месяцы'!$B$2:$B$301,A45,'Данные_месяцы'!$A$2:$A$301,"2026-02")*0.5)*VLOOKUP(C45,'Допущения'!$A$11:$B$16,2,FALSE),0)</x:f>
        <x:v>16</x:v>
      </x:c>
      <x:c r="E45" s="80" t="n">
        <x:f>SUMIF('Остатки_размеры'!$A$2:$A$251,A45,'Остатки_размеры'!$G$2:$G$251)</x:f>
        <x:v>27</x:v>
      </x:c>
      <x:c r="F45" s="80" t="n">
        <x:f>D45*1.5</x:f>
        <x:v>24</x:v>
      </x:c>
      <x:c r="G45" s="80" t="n">
        <x:f>MAX(F45-E45,0)</x:f>
        <x:v>0</x:v>
      </x:c>
      <x:c r="H45" s="80" t="n">
        <x:f>MAX(E45-F45,0)</x:f>
        <x:v>3</x:v>
      </x:c>
      <x:c r="I45" s="80" t="n">
        <x:f>H45*AVERAGEIF('Данные_месяцы'!$B$2:$B$301,A45,'Данные_месяцы'!$G$2:$G$301)</x:f>
        <x:v>5274.137236323311</x:v>
      </x:c>
      <x:c r="J45" s="76" t="str">
        <x:f>IF(G45&gt;0,"Дефицит",IF(H45&gt;0,"Избыток","Норма"))</x:f>
        <x:v>Избыток</x:v>
      </x:c>
      <x:c r="K45" s="76" t="str">
        <x:f>IF(G45&gt;0,"Пополнить прибыльные размеры",IF(H45&gt;0,"Снизить закупку или перераспределить","Поддерживать текущий запас"))</x:f>
        <x:v>Снизить закупку или перераспределить</x:v>
      </x:c>
    </x:row>
    <x:row r="46">
      <x:c r="A46" s="48" t="str">
        <x:v>UM-045</x:v>
      </x:c>
      <x:c r="B46" s="48" t="str">
        <x:v>Тренч</x:v>
      </x:c>
      <x:c r="C46" s="48" t="str">
        <x:v>Верхняя одежда</x:v>
      </x:c>
      <x:c r="D46" s="80" t="n">
        <x:f>ROUND((SUMIFS('Данные_месяцы'!$K$2:$K$301,'Данные_месяцы'!$B$2:$B$301,A46,'Данные_месяцы'!$A$2:$A$301,"2025-12")*0.2+SUMIFS('Данные_месяцы'!$K$2:$K$301,'Данные_месяцы'!$B$2:$B$301,A46,'Данные_месяцы'!$A$2:$A$301,"2026-01")*0.3+SUMIFS('Данные_месяцы'!$K$2:$K$301,'Данные_месяцы'!$B$2:$B$301,A46,'Данные_месяцы'!$A$2:$A$301,"2026-02")*0.5)*VLOOKUP(C46,'Допущения'!$A$11:$B$16,2,FALSE),0)</x:f>
        <x:v>8</x:v>
      </x:c>
      <x:c r="E46" s="80" t="n">
        <x:f>SUMIF('Остатки_размеры'!$A$2:$A$251,A46,'Остатки_размеры'!$G$2:$G$251)</x:f>
        <x:v>36</x:v>
      </x:c>
      <x:c r="F46" s="80" t="n">
        <x:f>D46*1.5</x:f>
        <x:v>12</x:v>
      </x:c>
      <x:c r="G46" s="80" t="n">
        <x:f>MAX(F46-E46,0)</x:f>
        <x:v>0</x:v>
      </x:c>
      <x:c r="H46" s="80" t="n">
        <x:f>MAX(E46-F46,0)</x:f>
        <x:v>24</x:v>
      </x:c>
      <x:c r="I46" s="80" t="n">
        <x:f>H46*AVERAGEIF('Данные_месяцы'!$B$2:$B$301,A46,'Данные_месяцы'!$G$2:$G$301)</x:f>
        <x:v>50631.94517080148</x:v>
      </x:c>
      <x:c r="J46" s="76" t="str">
        <x:f>IF(G46&gt;0,"Дефицит",IF(H46&gt;0,"Избыток","Норма"))</x:f>
        <x:v>Избыток</x:v>
      </x:c>
      <x:c r="K46" s="76" t="str">
        <x:f>IF(G46&gt;0,"Пополнить прибыльные размеры",IF(H46&gt;0,"Снизить закупку или перераспределить","Поддерживать текущий запас"))</x:f>
        <x:v>Снизить закупку или перераспределить</x:v>
      </x:c>
    </x:row>
    <x:row r="47">
      <x:c r="A47" s="48" t="str">
        <x:v>UM-046</x:v>
      </x:c>
      <x:c r="B47" s="48" t="str">
        <x:v>Экопуховик</x:v>
      </x:c>
      <x:c r="C47" s="48" t="str">
        <x:v>Верхняя одежда</x:v>
      </x:c>
      <x:c r="D47" s="80" t="n">
        <x:f>ROUND((SUMIFS('Данные_месяцы'!$K$2:$K$301,'Данные_месяцы'!$B$2:$B$301,A47,'Данные_месяцы'!$A$2:$A$301,"2025-12")*0.2+SUMIFS('Данные_месяцы'!$K$2:$K$301,'Данные_месяцы'!$B$2:$B$301,A47,'Данные_месяцы'!$A$2:$A$301,"2026-01")*0.3+SUMIFS('Данные_месяцы'!$K$2:$K$301,'Данные_месяцы'!$B$2:$B$301,A47,'Данные_месяцы'!$A$2:$A$301,"2026-02")*0.5)*VLOOKUP(C47,'Допущения'!$A$11:$B$16,2,FALSE),0)</x:f>
        <x:v>8</x:v>
      </x:c>
      <x:c r="E47" s="80" t="n">
        <x:f>SUMIF('Остатки_размеры'!$A$2:$A$251,A47,'Остатки_размеры'!$G$2:$G$251)</x:f>
        <x:v>10</x:v>
      </x:c>
      <x:c r="F47" s="80" t="n">
        <x:f>D47*1.5</x:f>
        <x:v>12</x:v>
      </x:c>
      <x:c r="G47" s="80" t="n">
        <x:f>MAX(F47-E47,0)</x:f>
        <x:v>2</x:v>
      </x:c>
      <x:c r="H47" s="80" t="n">
        <x:f>MAX(E47-F47,0)</x:f>
        <x:v>0</x:v>
      </x:c>
      <x:c r="I47" s="80" t="n">
        <x:f>H47*AVERAGEIF('Данные_месяцы'!$B$2:$B$301,A47,'Данные_месяцы'!$G$2:$G$301)</x:f>
        <x:v>0</x:v>
      </x:c>
      <x:c r="J47" s="76" t="str">
        <x:f>IF(G47&gt;0,"Дефицит",IF(H47&gt;0,"Избыток","Норма"))</x:f>
        <x:v>Дефицит</x:v>
      </x:c>
      <x:c r="K47" s="76" t="str">
        <x:f>IF(G47&gt;0,"Пополнить прибыльные размеры",IF(H47&gt;0,"Снизить закупку или перераспределить","Поддерживать текущий запас"))</x:f>
        <x:v>Пополнить прибыльные размеры</x:v>
      </x:c>
    </x:row>
    <x:row r="48">
      <x:c r="A48" s="48" t="str">
        <x:v>UM-047</x:v>
      </x:c>
      <x:c r="B48" s="48" t="str">
        <x:v>Косуха</x:v>
      </x:c>
      <x:c r="C48" s="48" t="str">
        <x:v>Верхняя одежда</x:v>
      </x:c>
      <x:c r="D48" s="80" t="n">
        <x:f>ROUND((SUMIFS('Данные_месяцы'!$K$2:$K$301,'Данные_месяцы'!$B$2:$B$301,A48,'Данные_месяцы'!$A$2:$A$301,"2025-12")*0.2+SUMIFS('Данные_месяцы'!$K$2:$K$301,'Данные_месяцы'!$B$2:$B$301,A48,'Данные_месяцы'!$A$2:$A$301,"2026-01")*0.3+SUMIFS('Данные_месяцы'!$K$2:$K$301,'Данные_месяцы'!$B$2:$B$301,A48,'Данные_месяцы'!$A$2:$A$301,"2026-02")*0.5)*VLOOKUP(C48,'Допущения'!$A$11:$B$16,2,FALSE),0)</x:f>
        <x:v>8</x:v>
      </x:c>
      <x:c r="E48" s="80" t="n">
        <x:f>SUMIF('Остатки_размеры'!$A$2:$A$251,A48,'Остатки_размеры'!$G$2:$G$251)</x:f>
        <x:v>15</x:v>
      </x:c>
      <x:c r="F48" s="80" t="n">
        <x:f>D48*1.5</x:f>
        <x:v>12</x:v>
      </x:c>
      <x:c r="G48" s="80" t="n">
        <x:f>MAX(F48-E48,0)</x:f>
        <x:v>0</x:v>
      </x:c>
      <x:c r="H48" s="80" t="n">
        <x:f>MAX(E48-F48,0)</x:f>
        <x:v>3</x:v>
      </x:c>
      <x:c r="I48" s="80" t="n">
        <x:f>H48*AVERAGEIF('Данные_месяцы'!$B$2:$B$301,A48,'Данные_месяцы'!$G$2:$G$301)</x:f>
        <x:v>7534.86098207629</x:v>
      </x:c>
      <x:c r="J48" s="76" t="str">
        <x:f>IF(G48&gt;0,"Дефицит",IF(H48&gt;0,"Избыток","Норма"))</x:f>
        <x:v>Избыток</x:v>
      </x:c>
      <x:c r="K48" s="76" t="str">
        <x:f>IF(G48&gt;0,"Пополнить прибыльные размеры",IF(H48&gt;0,"Снизить закупку или перераспределить","Поддерживать текущий запас"))</x:f>
        <x:v>Снизить закупку или перераспределить</x:v>
      </x:c>
    </x:row>
    <x:row r="49">
      <x:c r="A49" s="48" t="str">
        <x:v>UM-048</x:v>
      </x:c>
      <x:c r="B49" s="48" t="str">
        <x:v>Пальто-халат</x:v>
      </x:c>
      <x:c r="C49" s="48" t="str">
        <x:v>Верхняя одежда</x:v>
      </x:c>
      <x:c r="D49" s="80" t="n">
        <x:f>ROUND((SUMIFS('Данные_месяцы'!$K$2:$K$301,'Данные_месяцы'!$B$2:$B$301,A49,'Данные_месяцы'!$A$2:$A$301,"2025-12")*0.2+SUMIFS('Данные_месяцы'!$K$2:$K$301,'Данные_месяцы'!$B$2:$B$301,A49,'Данные_месяцы'!$A$2:$A$301,"2026-01")*0.3+SUMIFS('Данные_месяцы'!$K$2:$K$301,'Данные_месяцы'!$B$2:$B$301,A49,'Данные_месяцы'!$A$2:$A$301,"2026-02")*0.5)*VLOOKUP(C49,'Допущения'!$A$11:$B$16,2,FALSE),0)</x:f>
        <x:v>12</x:v>
      </x:c>
      <x:c r="E49" s="80" t="n">
        <x:f>SUMIF('Остатки_размеры'!$A$2:$A$251,A49,'Остатки_размеры'!$G$2:$G$251)</x:f>
        <x:v>24</x:v>
      </x:c>
      <x:c r="F49" s="80" t="n">
        <x:f>D49*1.5</x:f>
        <x:v>18</x:v>
      </x:c>
      <x:c r="G49" s="80" t="n">
        <x:f>MAX(F49-E49,0)</x:f>
        <x:v>0</x:v>
      </x:c>
      <x:c r="H49" s="80" t="n">
        <x:f>MAX(E49-F49,0)</x:f>
        <x:v>6</x:v>
      </x:c>
      <x:c r="I49" s="80" t="n">
        <x:f>H49*AVERAGEIF('Данные_месяцы'!$B$2:$B$301,A49,'Данные_месяцы'!$G$2:$G$301)</x:f>
        <x:v>9888.095319482896</x:v>
      </x:c>
      <x:c r="J49" s="76" t="str">
        <x:f>IF(G49&gt;0,"Дефицит",IF(H49&gt;0,"Избыток","Норма"))</x:f>
        <x:v>Избыток</x:v>
      </x:c>
      <x:c r="K49" s="76" t="str">
        <x:f>IF(G49&gt;0,"Пополнить прибыльные размеры",IF(H49&gt;0,"Снизить закупку или перераспределить","Поддерживать текущий запас"))</x:f>
        <x:v>Снизить закупку или перераспределить</x:v>
      </x:c>
    </x:row>
    <x:row r="50">
      <x:c r="A50" s="48" t="str">
        <x:v>UM-049</x:v>
      </x:c>
      <x:c r="B50" s="48" t="str">
        <x:v>Бомбер</x:v>
      </x:c>
      <x:c r="C50" s="48" t="str">
        <x:v>Верхняя одежда</x:v>
      </x:c>
      <x:c r="D50" s="80" t="n">
        <x:f>ROUND((SUMIFS('Данные_месяцы'!$K$2:$K$301,'Данные_месяцы'!$B$2:$B$301,A50,'Данные_месяцы'!$A$2:$A$301,"2025-12")*0.2+SUMIFS('Данные_месяцы'!$K$2:$K$301,'Данные_месяцы'!$B$2:$B$301,A50,'Данные_месяцы'!$A$2:$A$301,"2026-01")*0.3+SUMIFS('Данные_месяцы'!$K$2:$K$301,'Данные_месяцы'!$B$2:$B$301,A50,'Данные_месяцы'!$A$2:$A$301,"2026-02")*0.5)*VLOOKUP(C50,'Допущения'!$A$11:$B$16,2,FALSE),0)</x:f>
        <x:v>17</x:v>
      </x:c>
      <x:c r="E50" s="80" t="n">
        <x:f>SUMIF('Остатки_размеры'!$A$2:$A$251,A50,'Остатки_размеры'!$G$2:$G$251)</x:f>
        <x:v>51</x:v>
      </x:c>
      <x:c r="F50" s="80" t="n">
        <x:f>D50*1.5</x:f>
        <x:v>25.5</x:v>
      </x:c>
      <x:c r="G50" s="80" t="n">
        <x:f>MAX(F50-E50,0)</x:f>
        <x:v>0</x:v>
      </x:c>
      <x:c r="H50" s="80" t="n">
        <x:f>MAX(E50-F50,0)</x:f>
        <x:v>25.5</x:v>
      </x:c>
      <x:c r="I50" s="80" t="n">
        <x:f>H50*AVERAGEIF('Данные_месяцы'!$B$2:$B$301,A50,'Данные_месяцы'!$G$2:$G$301)</x:f>
        <x:v>37146.45609791986</x:v>
      </x:c>
      <x:c r="J50" s="76" t="str">
        <x:f>IF(G50&gt;0,"Дефицит",IF(H50&gt;0,"Избыток","Норма"))</x:f>
        <x:v>Избыток</x:v>
      </x:c>
      <x:c r="K50" s="76" t="str">
        <x:f>IF(G50&gt;0,"Пополнить прибыльные размеры",IF(H50&gt;0,"Снизить закупку или перераспределить","Поддерживать текущий запас"))</x:f>
        <x:v>Снизить закупку или перераспределить</x:v>
      </x:c>
    </x:row>
    <x:row r="51">
      <x:c r="A51" s="49" t="str">
        <x:v>UM-050</x:v>
      </x:c>
      <x:c r="B51" s="49" t="str">
        <x:v>Куртка-рубашка</x:v>
      </x:c>
      <x:c r="C51" s="49" t="str">
        <x:v>Верхняя одежда</x:v>
      </x:c>
      <x:c r="D51" s="81" t="n">
        <x:f>ROUND((SUMIFS('Данные_месяцы'!$K$2:$K$301,'Данные_месяцы'!$B$2:$B$301,A51,'Данные_месяцы'!$A$2:$A$301,"2025-12")*0.2+SUMIFS('Данные_месяцы'!$K$2:$K$301,'Данные_месяцы'!$B$2:$B$301,A51,'Данные_месяцы'!$A$2:$A$301,"2026-01")*0.3+SUMIFS('Данные_месяцы'!$K$2:$K$301,'Данные_месяцы'!$B$2:$B$301,A51,'Данные_месяцы'!$A$2:$A$301,"2026-02")*0.5)*VLOOKUP(C51,'Допущения'!$A$11:$B$16,2,FALSE),0)</x:f>
        <x:v>21</x:v>
      </x:c>
      <x:c r="E51" s="81" t="n">
        <x:f>SUMIF('Остатки_размеры'!$A$2:$A$251,A51,'Остатки_размеры'!$G$2:$G$251)</x:f>
        <x:v>17</x:v>
      </x:c>
      <x:c r="F51" s="81" t="n">
        <x:f>D51*1.5</x:f>
        <x:v>31.5</x:v>
      </x:c>
      <x:c r="G51" s="81" t="n">
        <x:f>MAX(F51-E51,0)</x:f>
        <x:v>14.5</x:v>
      </x:c>
      <x:c r="H51" s="81" t="n">
        <x:f>MAX(E51-F51,0)</x:f>
        <x:v>0</x:v>
      </x:c>
      <x:c r="I51" s="81" t="n">
        <x:f>H51*AVERAGEIF('Данные_месяцы'!$B$2:$B$301,A51,'Данные_месяцы'!$G$2:$G$301)</x:f>
        <x:v>0</x:v>
      </x:c>
      <x:c r="J51" s="77" t="str">
        <x:f>IF(G51&gt;0,"Дефицит",IF(H51&gt;0,"Избыток","Норма"))</x:f>
        <x:v>Дефицит</x:v>
      </x:c>
      <x:c r="K51" s="77" t="str">
        <x:f>IF(G51&gt;0,"Пополнить прибыльные размеры",IF(H51&gt;0,"Снизить закупку или перераспределить","Поддерживать текущий запас"))</x:f>
        <x:v>Пополнить прибыльные размеры</x:v>
      </x:c>
    </x:row>
  </x:sheetData>
  <x:conditionalFormatting sqref="J2:J51">
    <x:cfRule type="expression" dxfId="7" priority="1">
      <x:formula>J2="Дефицит"</x:formula>
    </x:cfRule>
    <x:cfRule type="expression" dxfId="8" priority="2">
      <x:formula>J2="Избыток"</x:formula>
    </x:cfRule>
    <x:cfRule type="expression" dxfId="9" priority="3">
      <x:formula>J2="Норма"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d7fcb3915d541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62" hidden="0" customWidth="1"/>
    <x:col min="4" max="4" width="22" hidden="0" customWidth="1"/>
    <x:col min="5" max="5" width="26" hidden="0" customWidth="1"/>
    <x:col min="6" max="6" width="55" hidden="0" customWidth="1"/>
    <x:col min="7" max="7" width="16" hidden="0" customWidth="1"/>
  </x:cols>
  <x:sheetData>
    <x:row r="1" ht="28" customHeight="1">
      <x:c r="A1" s="17" t="str">
        <x:v>Приоритет</x:v>
      </x:c>
      <x:c r="B1" s="43" t="str">
        <x:v>Срок</x:v>
      </x:c>
      <x:c r="C1" s="43" t="str">
        <x:v>Действие</x:v>
      </x:c>
      <x:c r="D1" s="43" t="str">
        <x:v>Расчётный эффект, ₽</x:v>
      </x:c>
      <x:c r="E1" s="43" t="str">
        <x:v>Высвобождение денег, ₽</x:v>
      </x:c>
      <x:c r="F1" s="43" t="str">
        <x:v>Ожидаемый результат</x:v>
      </x:c>
      <x:c r="G1" s="18" t="str">
        <x:v>Статус</x:v>
      </x:c>
    </x:row>
    <x:row r="2">
      <x:c r="A2" s="48" t="n">
        <x:v>1</x:v>
      </x:c>
      <x:c r="B2" s="48" t="str">
        <x:v>1-3</x:v>
      </x:c>
      <x:c r="C2" s="48" t="str">
        <x:v>Ограничить или остановить рекламу по 6 артикулам с ROAS ниже 4</x:v>
      </x:c>
      <x:c r="D2" s="56" t="n">
        <x:v>187209.0811030825</x:v>
      </x:c>
      <x:c r="E2" s="56" t="n">
        <x:v>0</x:v>
      </x:c>
      <x:c r="F2" s="48" t="str">
        <x:v>Сокращение рекламных расходов без потери прибыльных продаж</x:v>
      </x:c>
      <x:c r="G2" s="48" t="str">
        <x:v>К выполнению</x:v>
      </x:c>
    </x:row>
    <x:row r="3">
      <x:c r="A3" s="48" t="n">
        <x:v>2</x:v>
      </x:c>
      <x:c r="B3" s="48" t="str">
        <x:v>1-7</x:v>
      </x:c>
      <x:c r="C3" s="48" t="str">
        <x:v>Пересчитать цены и условия по 8 убыточным артикулам</x:v>
      </x:c>
      <x:c r="D3" s="56" t="n">
        <x:v>262966.3774981321</x:v>
      </x:c>
      <x:c r="E3" s="56" t="n">
        <x:v>0</x:v>
      </x:c>
      <x:c r="F3" s="48" t="str">
        <x:v>Прекращение продаж в минус или вывод товаров в положительную маржу</x:v>
      </x:c>
      <x:c r="G3" s="48" t="str">
        <x:v>К выполнению</x:v>
      </x:c>
    </x:row>
    <x:row r="4">
      <x:c r="A4" s="48" t="n">
        <x:v>3</x:v>
      </x:c>
      <x:c r="B4" s="48" t="str">
        <x:v>5-12</x:v>
      </x:c>
      <x:c r="C4" s="48" t="str">
        <x:v>Снизить возвраты по 16 артикулам с выкупом ниже 55%</x:v>
      </x:c>
      <x:c r="D4" s="56" t="n">
        <x:v>35878.653652943416</x:v>
      </x:c>
      <x:c r="E4" s="56" t="n">
        <x:v>0</x:v>
      </x:c>
      <x:c r="F4" s="48" t="str">
        <x:v>Корректировка размерной сетки, карточек и качества товара</x:v>
      </x:c>
      <x:c r="G4" s="48" t="str">
        <x:v>К выполнению</x:v>
      </x:c>
    </x:row>
    <x:row r="5">
      <x:c r="A5" s="48" t="n">
        <x:v>4</x:v>
      </x:c>
      <x:c r="B5" s="48" t="str">
        <x:v>7-15</x:v>
      </x:c>
      <x:c r="C5" s="48" t="str">
        <x:v>Сократить закупки и перераспределить 845 единиц избыточного запаса</x:v>
      </x:c>
      <x:c r="D5" s="56" t="n">
        <x:v>0</x:v>
      </x:c>
      <x:c r="E5" s="56" t="n">
        <x:v>1047325.4937925366</x:v>
      </x:c>
      <x:c r="F5" s="48" t="str">
        <x:v>Высвобождение оборотного капитала из медленных остатков</x:v>
      </x:c>
      <x:c r="G5" s="48" t="str">
        <x:v>К выполнению</x:v>
      </x:c>
    </x:row>
    <x:row r="6">
      <x:c r="A6" s="48" t="n">
        <x:v>5</x:v>
      </x:c>
      <x:c r="B6" s="48" t="str">
        <x:v>10-20</x:v>
      </x:c>
      <x:c r="C6" s="48" t="str">
        <x:v>Пополнить 209 единиц прибыльных размеров с риском дефицита</x:v>
      </x:c>
      <x:c r="D6" s="56" t="n">
        <x:v>0</x:v>
      </x:c>
      <x:c r="E6" s="56" t="n">
        <x:v>0</x:v>
      </x:c>
      <x:c r="F6" s="48" t="str">
        <x:v>Снижение упущенных продаж по прибыльным товарам</x:v>
      </x:c>
      <x:c r="G6" s="48" t="str">
        <x:v>К выполнению</x:v>
      </x:c>
    </x:row>
    <x:row r="7">
      <x:c r="A7" s="49" t="n">
        <x:v>6</x:v>
      </x:c>
      <x:c r="B7" s="49" t="str">
        <x:v>15-30</x:v>
      </x:c>
      <x:c r="C7" s="49" t="str">
        <x:v>Настроить еженедельный контроль штрафов, маржи, рекламы и остатков</x:v>
      </x:c>
      <x:c r="D7" s="57" t="n">
        <x:v>7997.090047244146</x:v>
      </x:c>
      <x:c r="E7" s="57" t="n">
        <x:v>0</x:v>
      </x:c>
      <x:c r="F7" s="49" t="str">
        <x:v>Раннее выявление повторных потерь</x:v>
      </x:c>
      <x:c r="G7" s="49" t="str">
        <x:v>К выполнению</x:v>
      </x:c>
    </x:row>
  </x:sheetData>
  <x:conditionalFormatting sqref="G2:G7">
    <x:cfRule type="expression" dxfId="10" priority="1">
      <x:formula>G2="Выполнено"</x:formula>
    </x:cfRule>
    <x:cfRule type="expression" dxfId="11" priority="2">
      <x:formula>G2="В работе"</x:formula>
    </x:cfRule>
  </x:conditionalFormatting>
  <x:dataValidations count="1">
    <x:dataValidation type="list" sqref="G2:G7">
      <x:formula1>"К выполнению,В работе,Выполнено"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8b57fef12e461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4" max="4" width="24" hidden="0" customWidth="1"/>
    <x:col min="5" max="5" width="55" hidden="0" customWidth="1"/>
    <x:col min="6" max="6" width="42" hidden="0" customWidth="1"/>
  </x:cols>
  <x:sheetData>
    <x:row r="1" ht="32" customHeight="1">
      <x:c r="A1" s="5" t="str">
        <x:v>Unitmetra - допущения демонстрационного кейса</x:v>
      </x:c>
    </x:row>
    <x:row r="3" ht="28" customHeight="1">
      <x:c r="A3" s="17" t="str">
        <x:v>Параметр</x:v>
      </x:c>
      <x:c r="B3" s="18" t="str">
        <x:v>Значение</x:v>
      </x:c>
      <x:c r="D3" s="17" t="str">
        <x:v>Формула</x:v>
      </x:c>
      <x:c r="E3" s="43" t="str">
        <x:v>Логика</x:v>
      </x:c>
      <x:c r="F3" s="18" t="str">
        <x:v>Примечание</x:v>
      </x:c>
    </x:row>
    <x:row r="4">
      <x:c r="A4" s="30" t="str">
        <x:v>Тип данных</x:v>
      </x:c>
      <x:c r="B4" s="30" t="str">
        <x:v>Моделируемые данные, не реальный клиент</x:v>
      </x:c>
      <x:c r="D4" s="30" t="str">
        <x:v>Выручка</x:v>
      </x:c>
      <x:c r="E4" s="30" t="str">
        <x:v>Выкупы × средняя цена продажи</x:v>
      </x:c>
      <x:c r="F4" s="30" t="str">
        <x:v>Учитываются только выкупленные единицы</x:v>
      </x:c>
    </x:row>
    <x:row r="5">
      <x:c r="A5" s="30" t="str">
        <x:v>Площадка</x:v>
      </x:c>
      <x:c r="B5" s="30" t="str">
        <x:v>Wildberries</x:v>
      </x:c>
      <x:c r="D5" s="30" t="str">
        <x:v>Чистая прибыль</x:v>
      </x:c>
      <x:c r="E5" s="30" t="str">
        <x:v>Выручка - комиссия - логистика - возвраты - хранение - штрафы - реклама - себестоимость</x:v>
      </x:c>
      <x:c r="F5" s="30" t="str">
        <x:v>До налога самозанятого</x:v>
      </x:c>
    </x:row>
    <x:row r="6">
      <x:c r="A6" s="30" t="str">
        <x:v>Период</x:v>
      </x:c>
      <x:c r="B6" s="30" t="str">
        <x:v>Сентябрь 2025 - февраль 2026</x:v>
      </x:c>
      <x:c r="D6" s="30" t="str">
        <x:v>Маржа</x:v>
      </x:c>
      <x:c r="E6" s="30" t="str">
        <x:v>Чистая прибыль / выручка</x:v>
      </x:c>
      <x:c r="F6" s="30" t="str">
        <x:v>Отрицательная маржа отмечается красным</x:v>
      </x:c>
    </x:row>
    <x:row r="7">
      <x:c r="A7" s="30" t="str">
        <x:v>Ассортимент</x:v>
      </x:c>
      <x:c r="B7" s="30" t="str">
        <x:v>50 артикулов женской одежды</x:v>
      </x:c>
      <x:c r="D7" s="30" t="str">
        <x:v>ROAS</x:v>
      </x:c>
      <x:c r="E7" s="30" t="str">
        <x:v>Выручка / расходы на рекламу</x:v>
      </x:c>
      <x:c r="F7" s="30" t="str">
        <x:v>Ниже 4 - зона внимания в этом кейсе</x:v>
      </x:c>
    </x:row>
    <x:row r="8">
      <x:c r="A8" s="31" t="str">
        <x:v>Ценовой сегмент</x:v>
      </x:c>
      <x:c r="B8" s="31" t="str">
        <x:v>Средний: 1 500-7 000 ₽</x:v>
      </x:c>
      <x:c r="D8" s="30" t="str">
        <x:v>Целевой запас</x:v>
      </x:c>
      <x:c r="E8" s="30" t="str">
        <x:v>Прогноз на месяц × 1,5</x:v>
      </x:c>
      <x:c r="F8" s="30" t="str">
        <x:v>Запас на 45 дней</x:v>
      </x:c>
    </x:row>
    <x:row r="9">
      <x:c r="D9" s="30" t="str">
        <x:v>Прогноз</x:v>
      </x:c>
      <x:c r="E9" s="30" t="str">
        <x:v>20% декабря + 30% января + 50% февраля</x:v>
      </x:c>
      <x:c r="F9" s="30" t="str">
        <x:v>Дополнительно учитывается сезонность категории</x:v>
      </x:c>
    </x:row>
    <x:row r="10" ht="28" customHeight="1">
      <x:c r="A10" s="17" t="str">
        <x:v>Категория</x:v>
      </x:c>
      <x:c r="B10" s="18" t="str">
        <x:v>Коэффициент спроса на март</x:v>
      </x:c>
      <x:c r="D10" s="31" t="str">
        <x:v>Потенциальный эффект</x:v>
      </x:c>
      <x:c r="E10" s="31" t="str">
        <x:v>Консервативный сценарий</x:v>
      </x:c>
      <x:c r="F10" s="31" t="str">
        <x:v>Не является гарантией результата</x:v>
      </x:c>
    </x:row>
    <x:row r="11">
      <x:c r="A11" s="30" t="str">
        <x:v>Платья</x:v>
      </x:c>
      <x:c r="B11" s="36" t="n">
        <x:v>1.2</x:v>
      </x:c>
    </x:row>
    <x:row r="12">
      <x:c r="A12" s="30" t="str">
        <x:v>Костюмы</x:v>
      </x:c>
      <x:c r="B12" s="36" t="n">
        <x:v>1.08</x:v>
      </x:c>
    </x:row>
    <x:row r="13">
      <x:c r="A13" s="30" t="str">
        <x:v>Блузки</x:v>
      </x:c>
      <x:c r="B13" s="36" t="n">
        <x:v>1.12</x:v>
      </x:c>
    </x:row>
    <x:row r="14">
      <x:c r="A14" s="30" t="str">
        <x:v>Брюки</x:v>
      </x:c>
      <x:c r="B14" s="36" t="n">
        <x:v>1.05</x:v>
      </x:c>
    </x:row>
    <x:row r="15">
      <x:c r="A15" s="30" t="str">
        <x:v>Трикотаж</x:v>
      </x:c>
      <x:c r="B15" s="36" t="n">
        <x:v>0.88</x:v>
      </x:c>
    </x:row>
    <x:row r="16">
      <x:c r="A16" s="31" t="str">
        <x:v>Верхняя одежда</x:v>
      </x:c>
      <x:c r="B16" s="37" t="n">
        <x:v>0.55</x:v>
      </x:c>
    </x:row>
  </x:sheetData>
  <x:mergeCells>
    <x:mergeCell ref="A1:F1"/>
  </x:mergeCells>
  <x:pageMargins left="0.7" right="0.7" top="0.75" bottom="0.75" header="0.3" footer="0.3"/>
</x:worksheet>
</file>
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f607d2f3fc4a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034aafcc787b4b89"/>
    <x:sheet xmlns:r="http://schemas.openxmlformats.org/officeDocument/2006/relationships" name="План действий" sheetId="2" r:id="Rf3794f6503eb4373"/>
    <x:sheet xmlns:r="http://schemas.openxmlformats.org/officeDocument/2006/relationships" name="Контроль 30 дней" sheetId="3" r:id="R6a69f16bad3d4455"/>
    <x:sheet xmlns:r="http://schemas.openxmlformats.org/officeDocument/2006/relationships" name="SKU пример" sheetId="4" r:id="Rf217c3ec7a694f0c"/>
    <x:sheet xmlns:r="http://schemas.openxmlformats.org/officeDocument/2006/relationships" name="Списки" sheetId="5" r:id="R8b43346e7b514b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&quot; ₽&quot;"/>
    <x:numFmt numFmtId="201" formatCode="0"/>
    <x:numFmt numFmtId="202" formatCode="dd.mm.yyyy"/>
    <x:numFmt numFmtId="203" formatCode="0.0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0D8F82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E9F8F5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3" fillId="3" borderId="5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5" xfId="0" applyNumberFormat="1" applyFont="1" applyFill="1" applyBorder="1"/>
    <x:xf numFmtId="0" fontId="2" fillId="2" borderId="5" xfId="0" applyNumberFormat="1" applyFont="1" applyFill="1" applyBorder="1" applyAlignment="1">
      <x:alignment horizontal="center" vertical="center"/>
    </x:xf>
    <x:xf numFmtId="0" fontId="2" fillId="2" borderId="6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 applyAlignment="1">
      <x:alignment wrapText="1"/>
    </x:xf>
    <x:xf numFmtId="0" fontId="3" fillId="3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2" fillId="2" borderId="10" xfId="0" applyNumberFormat="1" applyFont="1" applyFill="1" applyBorder="1" applyAlignment="1">
      <x:alignment horizontal="center" vertical="center"/>
    </x:xf>
    <x:xf numFmtId="0" fontId="2" fillId="2" borderId="11" xfId="0" applyNumberFormat="1" applyFont="1" applyFill="1" applyBorder="1" applyAlignment="1">
      <x:alignment horizontal="center" vertical="center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3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/>
    <x:xf numFmtId="0" fontId="0" fillId="0" borderId="13" xfId="0" applyNumberFormat="1" applyFont="1" applyFill="1" applyBorder="1"/>
    <x:xf numFmtId="0" fontId="2" fillId="2" borderId="13" xfId="0" applyNumberFormat="1" applyFont="1" applyFill="1" applyBorder="1" applyAlignment="1">
      <x:alignment horizontal="center" vertical="center"/>
    </x:xf>
    <x:xf numFmtId="0" fontId="2" fillId="2" borderId="14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 applyAlignment="1">
      <x:alignment wrapText="1"/>
    </x:xf>
    <x:xf numFmtId="0" fontId="3" fillId="3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200" fontId="0" fillId="0" borderId="3" xfId="0" applyNumberFormat="1" applyFont="1" applyFill="1" applyBorder="1"/>
    <x:xf numFmtId="200" fontId="0" fillId="0" borderId="8" xfId="0" applyNumberFormat="1" applyFont="1" applyFill="1" applyBorder="1"/>
    <x:xf numFmtId="200" fontId="0" fillId="0" borderId="11" xfId="0" applyNumberFormat="1" applyFont="1" applyFill="1" applyBorder="1"/>
    <x:xf numFmtId="200" fontId="0" fillId="0" borderId="16" xfId="0" applyNumberFormat="1" applyFont="1" applyFill="1" applyBorder="1"/>
    <x:xf numFmtId="202" fontId="0" fillId="0" borderId="3" xfId="0" applyNumberFormat="1" applyFont="1" applyFill="1" applyBorder="1"/>
    <x:xf numFmtId="202" fontId="0" fillId="0" borderId="0" xfId="0" applyNumberFormat="1" applyFont="1" applyFill="1" applyBorder="1"/>
    <x:xf numFmtId="202" fontId="0" fillId="0" borderId="8" xfId="0" applyNumberFormat="1" applyFont="1" applyFill="1" applyBorder="1"/>
    <x:xf numFmtId="202" fontId="0" fillId="0" borderId="11" xfId="0" applyNumberFormat="1" applyFont="1" applyFill="1" applyBorder="1"/>
    <x:xf numFmtId="202" fontId="0" fillId="0" borderId="1" xfId="0" applyNumberFormat="1" applyFont="1" applyFill="1" applyBorder="1"/>
    <x:xf numFmtId="202" fontId="0" fillId="0" borderId="16" xfId="0" applyNumberFormat="1" applyFont="1" applyFill="1" applyBorder="1"/>
    <x:xf numFmtId="203" fontId="0" fillId="0" borderId="3" xfId="0" applyNumberFormat="1" applyFont="1" applyFill="1" applyBorder="1"/>
    <x:xf numFmtId="203" fontId="0" fillId="0" borderId="0" xfId="0" applyNumberFormat="1" applyFont="1" applyFill="1" applyBorder="1"/>
    <x:xf numFmtId="203" fontId="0" fillId="0" borderId="8" xfId="0" applyNumberFormat="1" applyFont="1" applyFill="1" applyBorder="1"/>
    <x:xf numFmtId="203" fontId="0" fillId="0" borderId="11" xfId="0" applyNumberFormat="1" applyFont="1" applyFill="1" applyBorder="1"/>
    <x:xf numFmtId="203" fontId="0" fillId="0" borderId="1" xfId="0" applyNumberFormat="1" applyFont="1" applyFill="1" applyBorder="1"/>
    <x:xf numFmtId="203" fontId="0" fillId="0" borderId="16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 wrapText="1"/>
    </x:xf>
    <x:xf numFmtId="200" fontId="0" fillId="0" borderId="3" xfId="0" applyNumberFormat="1" applyFont="1" applyFill="1" applyBorder="1" applyAlignment="1">
      <x:alignment vertical="center"/>
    </x:xf>
    <x:xf numFmtId="202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200" fontId="0" fillId="0" borderId="8" xfId="0" applyNumberFormat="1" applyFont="1" applyFill="1" applyBorder="1" applyAlignment="1">
      <x:alignment vertical="center"/>
    </x:xf>
    <x:xf numFmtId="202" fontId="0" fillId="0" borderId="8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 wrapText="1"/>
    </x:xf>
    <x:xf numFmtId="200" fontId="0" fillId="0" borderId="11" xfId="0" applyNumberFormat="1" applyFont="1" applyFill="1" applyBorder="1" applyAlignment="1">
      <x:alignment vertical="center"/>
    </x:xf>
    <x:xf numFmtId="202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200" fontId="0" fillId="0" borderId="16" xfId="0" applyNumberFormat="1" applyFont="1" applyFill="1" applyBorder="1" applyAlignment="1">
      <x:alignment vertical="center"/>
    </x:xf>
    <x:xf numFmtId="202" fontId="0" fillId="0" borderId="16" xfId="0" applyNumberFormat="1" applyFont="1" applyFill="1" applyBorder="1" applyAlignment="1">
      <x:alignment vertical="center"/>
    </x:xf>
    <x:xf numFmtId="203" fontId="0" fillId="0" borderId="3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3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203" fontId="0" fillId="0" borderId="11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203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</x:cellXfs>
  <x:cellStyles count="1">
    <x:cellStyle name="Normal" xfId="0"/>
  </x:cellStyles>
  <x:dxfs count="6">
    <x:dxf>
      <x:font>
        <x:b/>
        <x:color rgb="FF0D8F82"/>
      </x:font>
      <x:fill>
        <x:patternFill patternType="solid">
          <x:bgColor rgb="FFDFF5EF"/>
        </x:patternFill>
      </x:fill>
    </x:dxf>
    <x:dxf>
      <x:font>
        <x:b/>
        <x:color rgb="FFA66A12"/>
      </x:font>
      <x:fill>
        <x:patternFill patternType="solid">
          <x:bgColor rgb="FFFFF2D8"/>
        </x:patternFill>
      </x:fill>
    </x:dxf>
    <x:dxf>
      <x:font>
        <x:b/>
        <x:color rgb="FFC94C4C"/>
      </x:font>
      <x:fill>
        <x:patternFill patternType="solid">
          <x:bgColor rgb="FFFDE7E7"/>
        </x:patternFill>
      </x:fill>
    </x:dxf>
    <x:dxf>
      <x:font>
        <x:b/>
        <x:color rgb="FF0D8F82"/>
      </x:font>
      <x:fill>
        <x:patternFill patternType="solid">
          <x:bgColor rgb="FFDFF5EF"/>
        </x:patternFill>
      </x:fill>
    </x:dxf>
    <x:dxf>
      <x:font>
        <x:b/>
        <x:color rgb="FFC94C4C"/>
      </x:font>
      <x:fill>
        <x:patternFill patternType="solid">
          <x:bgColor rgb="FFFDE7E7"/>
        </x:patternFill>
      </x:fill>
    </x:dxf>
    <x:dxf>
      <x:font>
        <x:b/>
        <x:color rgb="FFC94C4C"/>
      </x:font>
      <x:fill>
        <x:patternFill patternType="solid">
          <x:bgColor rgb="FFFDE7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713768262643de" /><Relationship Type="http://schemas.openxmlformats.org/officeDocument/2006/relationships/theme" Target="/xl/theme/theme1.xml" Id="Rbc0234eae22d452c" /><Relationship Type="http://schemas.openxmlformats.org/officeDocument/2006/relationships/sharedStrings" Target="/xl/sharedStrings.xml" Id="R4ba9bf34ff4b4fd9" /><Relationship Type="http://schemas.openxmlformats.org/officeDocument/2006/relationships/worksheet" Target="/xl/worksheets/sheet1.xml" Id="R034aafcc787b4b89" /><Relationship Type="http://schemas.openxmlformats.org/officeDocument/2006/relationships/worksheet" Target="/xl/worksheets/sheet2.xml" Id="Rf3794f6503eb4373" /><Relationship Type="http://schemas.openxmlformats.org/officeDocument/2006/relationships/worksheet" Target="/xl/worksheets/sheet3.xml" Id="R6a69f16bad3d4455" /><Relationship Type="http://schemas.openxmlformats.org/officeDocument/2006/relationships/worksheet" Target="/xl/worksheets/sheet4.xml" Id="Rf217c3ec7a694f0c" /><Relationship Type="http://schemas.openxmlformats.org/officeDocument/2006/relationships/worksheet" Target="/xl/worksheets/sheet5.xml" Id="R8b43346e7b514b33" /></Relationships>
</file>

<file path=xl/tables/table1.xml><?xml version="1.0" encoding="utf-8"?>
<x:table xmlns:x="http://schemas.openxmlformats.org/spreadsheetml/2006/main" id="1" name="ActionPlanTable" displayName="ActionPlanTable" ref="A1:I7" headerRowCount="1">
  <x:tableColumns count="9">
    <x:tableColumn id="1" name="Приоритет"/>
    <x:tableColumn id="2" name="Действие"/>
    <x:tableColumn id="3" name="Зона"/>
    <x:tableColumn id="4" name="Срок"/>
    <x:tableColumn id="5" name="Ожидаемый эффект, ₽"/>
    <x:tableColumn id="6" name="Ответственный"/>
    <x:tableColumn id="7" name="Статус"/>
    <x:tableColumn id="8" name="Дата выполнения"/>
    <x:tableColumn id="9" name="Комментарий"/>
  </x:tableColumns>
  <x:tableStyleInfo name="TableStyleMedium2" showRowStripes="1"/>
</x:table>
</file>

<file path=xl/tables/table2.xml><?xml version="1.0" encoding="utf-8"?>
<x:table xmlns:x="http://schemas.openxmlformats.org/spreadsheetml/2006/main" id="2" name="Control30DaysTable" displayName="Control30DaysTable" ref="A1:I17" headerRowCount="1">
  <x:tableColumns count="9">
    <x:tableColumn id="1" name="Неделя"/>
    <x:tableColumn id="2" name="Дата контроля"/>
    <x:tableColumn id="3" name="Показатель"/>
    <x:tableColumn id="4" name="База"/>
    <x:tableColumn id="5" name="Цель"/>
    <x:tableColumn id="6" name="Факт"/>
    <x:tableColumn id="7" name="Отклонение от цели"/>
    <x:tableColumn id="8" name="Статус"/>
    <x:tableColumn id="9" name="Комментарий"/>
  </x:tableColumns>
  <x:tableStyleInfo name="TableStyleMedium2" showRowStripes="1"/>
</x:table>
</file>

<file path=xl/tables/table3.xml><?xml version="1.0" encoding="utf-8"?>
<x:table xmlns:x="http://schemas.openxmlformats.org/spreadsheetml/2006/main" id="3" name="SkuExampleTable" displayName="SkuExampleTable" ref="A1:I6" headerRowCount="1">
  <x:tableColumns count="9">
    <x:tableColumn id="1" name="Артикул"/>
    <x:tableColumn id="2" name="Товар"/>
    <x:tableColumn id="3" name="Выручка, ₽"/>
    <x:tableColumn id="4" name="Чистая прибыль, ₽"/>
    <x:tableColumn id="5" name="Маржа, %"/>
    <x:tableColumn id="6" name="ROAS"/>
    <x:tableColumn id="7" name="Запас, дней"/>
    <x:tableColumn id="8" name="Статус"/>
    <x:tableColumn id="9" name="Рекомендация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bc4df9b65454d0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a5bcafeb2a94f5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408230f76104ef5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3" hidden="0" customWidth="1"/>
    <x:col min="4" max="4" width="24" hidden="0" customWidth="1"/>
    <x:col min="5" max="5" width="18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32" customHeight="1">
      <x:c r="A1" s="4" t="str">
        <x:v>UNITMETRA — ПЛАН ДЕЙСТВИЙ ПО АУДИТУ WILDBERRIES</x:v>
      </x:c>
      <x:c r="B1" s="4"/>
      <x:c r="C1" s="4"/>
      <x:c r="D1" s="4"/>
      <x:c r="E1" s="4"/>
      <x:c r="F1" s="4"/>
      <x:c r="G1" s="4"/>
      <x:c r="H1" s="4"/>
      <x:c r="I1" s="81"/>
    </x:row>
    <x:row r="2" ht="32" customHeight="1">
      <x:c r="A2" s="4"/>
      <x:c r="B2" s="4"/>
      <x:c r="C2" s="4"/>
      <x:c r="D2" s="4"/>
      <x:c r="E2" s="4"/>
      <x:c r="F2" s="4"/>
      <x:c r="G2" s="4"/>
      <x:c r="H2" s="4"/>
      <x:c r="I2" s="81"/>
    </x:row>
    <x:row r="3" ht="24" customHeight="1">
      <x:c r="A3" s="81"/>
      <x:c r="B3" s="81"/>
      <x:c r="C3" s="81"/>
      <x:c r="D3" s="81"/>
      <x:c r="E3" s="81"/>
      <x:c r="F3" s="81"/>
      <x:c r="G3" s="81"/>
      <x:c r="H3" s="81"/>
      <x:c r="I3" s="81"/>
    </x:row>
    <x:row r="4" ht="24" customHeight="1">
      <x:c r="A4" s="26" t="str">
        <x:v>Показатель</x:v>
      </x:c>
      <x:c r="B4" s="27" t="str">
        <x:v>Значение</x:v>
      </x:c>
      <x:c r="C4" s="82"/>
      <x:c r="D4" s="27" t="str">
        <x:v>Показатель</x:v>
      </x:c>
      <x:c r="E4" s="27" t="str">
        <x:v>Значение</x:v>
      </x:c>
      <x:c r="F4" s="82"/>
      <x:c r="G4" s="82"/>
      <x:c r="H4" s="83"/>
      <x:c r="I4" s="81"/>
    </x:row>
    <x:row r="5" ht="24" customHeight="1">
      <x:c r="A5" s="30" t="str">
        <x:v>Выручка за период</x:v>
      </x:c>
      <x:c r="B5" s="84" t="n">
        <x:v>23400000</x:v>
      </x:c>
      <x:c r="C5" s="81"/>
      <x:c r="D5" s="16" t="str">
        <x:v>Реклама</x:v>
      </x:c>
      <x:c r="E5" s="84" t="n">
        <x:v>2100000</x:v>
      </x:c>
      <x:c r="F5" s="81"/>
      <x:c r="G5" s="81"/>
      <x:c r="H5" s="85"/>
      <x:c r="I5" s="81"/>
    </x:row>
    <x:row r="6" ht="24" customHeight="1">
      <x:c r="A6" s="30" t="str">
        <x:v>Чистая прибыль</x:v>
      </x:c>
      <x:c r="B6" s="84" t="n">
        <x:v>4200000</x:v>
      </x:c>
      <x:c r="C6" s="81"/>
      <x:c r="D6" s="16" t="str">
        <x:v>Расчётный эффект</x:v>
      </x:c>
      <x:c r="E6" s="84" t="n">
        <x:v>494000</x:v>
      </x:c>
      <x:c r="F6" s="81"/>
      <x:c r="G6" s="81"/>
      <x:c r="H6" s="85"/>
      <x:c r="I6" s="81"/>
    </x:row>
    <x:row r="7" ht="24" customHeight="1">
      <x:c r="A7" s="30" t="str">
        <x:v>Убыточные SKU</x:v>
      </x:c>
      <x:c r="B7" s="86" t="n">
        <x:v>8</x:v>
      </x:c>
      <x:c r="C7" s="81"/>
      <x:c r="D7" s="16" t="str">
        <x:v>Рекомендуемая поставка, ед.</x:v>
      </x:c>
      <x:c r="E7" s="86" t="n">
        <x:v>209</x:v>
      </x:c>
      <x:c r="F7" s="81"/>
      <x:c r="G7" s="81"/>
      <x:c r="H7" s="85"/>
      <x:c r="I7" s="81"/>
    </x:row>
    <x:row r="8" ht="24" customHeight="1">
      <x:c r="A8" s="30" t="str">
        <x:v>Избыточные остатки</x:v>
      </x:c>
      <x:c r="B8" s="84" t="n">
        <x:v>1000000</x:v>
      </x:c>
      <x:c r="C8" s="81"/>
      <x:c r="D8" s="16" t="str">
        <x:v>Период анализа, мес.</x:v>
      </x:c>
      <x:c r="E8" s="86" t="n">
        <x:v>6</x:v>
      </x:c>
      <x:c r="F8" s="81"/>
      <x:c r="G8" s="81"/>
      <x:c r="H8" s="85"/>
      <x:c r="I8" s="81"/>
    </x:row>
    <x:row r="9" ht="24" customHeight="1">
      <x:c r="A9" s="87"/>
      <x:c r="B9" s="81"/>
      <x:c r="C9" s="81"/>
      <x:c r="D9" s="81"/>
      <x:c r="E9" s="81"/>
      <x:c r="F9" s="81"/>
      <x:c r="G9" s="81"/>
      <x:c r="H9" s="85"/>
      <x:c r="I9" s="81"/>
    </x:row>
    <x:row r="10" ht="24" customHeight="1">
      <x:c r="A10" s="34" t="str">
        <x:v>КАК ПОЛЬЗОВАТЬСЯ</x:v>
      </x:c>
      <x:c r="B10" s="10"/>
      <x:c r="C10" s="10"/>
      <x:c r="D10" s="10"/>
      <x:c r="E10" s="10"/>
      <x:c r="F10" s="10"/>
      <x:c r="G10" s="10"/>
      <x:c r="H10" s="35"/>
      <x:c r="I10" s="81"/>
    </x:row>
    <x:row r="11" ht="24" customHeight="1">
      <x:c r="A11" s="30" t="str">
        <x:v>1</x:v>
      </x:c>
      <x:c r="B11" s="88" t="str">
        <x:v>Откройте лист «План действий» и назначьте ответственных.</x:v>
      </x:c>
      <x:c r="C11" s="88"/>
      <x:c r="D11" s="88"/>
      <x:c r="E11" s="88"/>
      <x:c r="F11" s="88"/>
      <x:c r="G11" s="88"/>
      <x:c r="H11" s="89"/>
      <x:c r="I11" s="81"/>
    </x:row>
    <x:row r="12" ht="24" customHeight="1">
      <x:c r="A12" s="30" t="str">
        <x:v>2</x:v>
      </x:c>
      <x:c r="B12" s="88" t="str">
        <x:v>Обновляйте статус и комментарий по каждому пункту.</x:v>
      </x:c>
      <x:c r="C12" s="88"/>
      <x:c r="D12" s="88"/>
      <x:c r="E12" s="88"/>
      <x:c r="F12" s="88"/>
      <x:c r="G12" s="88"/>
      <x:c r="H12" s="89"/>
      <x:c r="I12" s="81"/>
    </x:row>
    <x:row r="13" ht="24" customHeight="1">
      <x:c r="A13" s="30" t="str">
        <x:v>3</x:v>
      </x:c>
      <x:c r="B13" s="88" t="str">
        <x:v>Раз в неделю заносите фактические показатели на лист «Контроль 30 дней».</x:v>
      </x:c>
      <x:c r="C13" s="88"/>
      <x:c r="D13" s="88"/>
      <x:c r="E13" s="88"/>
      <x:c r="F13" s="88"/>
      <x:c r="G13" s="88"/>
      <x:c r="H13" s="89"/>
      <x:c r="I13" s="81"/>
    </x:row>
    <x:row r="14" ht="24" customHeight="1">
      <x:c r="A14" s="37" t="str">
        <x:v>4</x:v>
      </x:c>
      <x:c r="B14" s="90" t="str">
        <x:v>Сравнивайте результат с базой и целевым значением.</x:v>
      </x:c>
      <x:c r="C14" s="90"/>
      <x:c r="D14" s="90"/>
      <x:c r="E14" s="90"/>
      <x:c r="F14" s="90"/>
      <x:c r="G14" s="90"/>
      <x:c r="H14" s="91"/>
      <x:c r="I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</x:row>
    <x:row r="16">
      <x:c r="A16" s="81"/>
      <x:c r="B16" s="81"/>
      <x:c r="C16" s="81"/>
      <x:c r="D16" s="81"/>
      <x:c r="E16" s="81"/>
      <x:c r="F16" s="81"/>
      <x:c r="G16" s="81"/>
      <x:c r="H16" s="81"/>
      <x:c r="I16" s="81"/>
    </x:row>
    <x:row r="17">
      <x:c r="A17" s="81"/>
      <x:c r="B17" s="81"/>
      <x:c r="C17" s="81"/>
      <x:c r="D17" s="81"/>
      <x:c r="E17" s="81"/>
      <x:c r="F17" s="81"/>
      <x:c r="G17" s="81"/>
      <x:c r="H17" s="81"/>
      <x:c r="I17" s="81"/>
    </x:row>
    <x:row r="18">
      <x:c r="A18" s="81"/>
      <x:c r="B18" s="81"/>
      <x:c r="C18" s="81"/>
      <x:c r="D18" s="81"/>
      <x:c r="E18" s="81"/>
      <x:c r="F18" s="81"/>
      <x:c r="G18" s="81"/>
      <x:c r="H18" s="81"/>
      <x:c r="I18" s="81"/>
    </x:row>
    <x:row r="19">
      <x:c r="A19" s="81"/>
      <x:c r="B19" s="81"/>
      <x:c r="C19" s="81"/>
      <x:c r="D19" s="81"/>
      <x:c r="E19" s="81"/>
      <x:c r="F19" s="81"/>
      <x:c r="G19" s="81"/>
      <x:c r="H19" s="81"/>
      <x:c r="I19" s="81"/>
    </x:row>
    <x:row r="20">
      <x:c r="A20" s="81"/>
      <x:c r="B20" s="81"/>
      <x:c r="C20" s="81"/>
      <x:c r="D20" s="81"/>
      <x:c r="E20" s="81"/>
      <x:c r="F20" s="81"/>
      <x:c r="G20" s="81"/>
      <x:c r="H20" s="81"/>
      <x:c r="I20" s="81"/>
    </x:row>
    <x:row r="21">
      <x:c r="A21" s="81"/>
      <x:c r="B21" s="81"/>
      <x:c r="C21" s="81"/>
      <x:c r="D21" s="81"/>
      <x:c r="E21" s="81"/>
      <x:c r="F21" s="81"/>
      <x:c r="G21" s="81"/>
      <x:c r="H21" s="81"/>
      <x:c r="I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</x:row>
    <x:row r="24">
      <x:c r="A24" s="81"/>
      <x:c r="B24" s="81"/>
      <x:c r="C24" s="81"/>
      <x:c r="D24" s="81"/>
      <x:c r="E24" s="81"/>
      <x:c r="F24" s="81"/>
      <x:c r="G24" s="81"/>
      <x:c r="H24" s="81"/>
      <x:c r="I24" s="81"/>
    </x:row>
    <x:row r="25">
      <x:c r="A25" s="81"/>
      <x:c r="B25" s="81"/>
      <x:c r="C25" s="81"/>
      <x:c r="D25" s="81"/>
      <x:c r="E25" s="81"/>
      <x:c r="F25" s="81"/>
      <x:c r="G25" s="81"/>
      <x:c r="H25" s="81"/>
      <x:c r="I25" s="81"/>
    </x:row>
    <x:row r="26">
      <x:c r="A26" s="81"/>
      <x:c r="B26" s="81"/>
      <x:c r="C26" s="81"/>
      <x:c r="D26" s="81"/>
      <x:c r="E26" s="81"/>
      <x:c r="F26" s="81"/>
      <x:c r="G26" s="81"/>
      <x:c r="H26" s="81"/>
      <x:c r="I26" s="81"/>
    </x:row>
    <x:row r="27">
      <x:c r="A27" s="81"/>
      <x:c r="B27" s="81"/>
      <x:c r="C27" s="81"/>
      <x:c r="D27" s="81"/>
      <x:c r="E27" s="81"/>
      <x:c r="F27" s="81"/>
      <x:c r="G27" s="81"/>
      <x:c r="H27" s="81"/>
      <x:c r="I27" s="81"/>
    </x:row>
    <x:row r="28">
      <x:c r="A28" s="81"/>
      <x:c r="B28" s="81"/>
      <x:c r="C28" s="81"/>
      <x:c r="D28" s="81"/>
      <x:c r="E28" s="81"/>
      <x:c r="F28" s="81"/>
      <x:c r="G28" s="81"/>
      <x:c r="H28" s="81"/>
      <x:c r="I28" s="81"/>
    </x:row>
    <x:row r="29">
      <x:c r="A29" s="81"/>
      <x:c r="B29" s="81"/>
      <x:c r="C29" s="81"/>
      <x:c r="D29" s="81"/>
      <x:c r="E29" s="81"/>
      <x:c r="F29" s="81"/>
      <x:c r="G29" s="81"/>
      <x:c r="H29" s="81"/>
      <x:c r="I29" s="81"/>
    </x:row>
    <x:row r="30">
      <x:c r="A30" s="81"/>
      <x:c r="B30" s="81"/>
      <x:c r="C30" s="81"/>
      <x:c r="D30" s="81"/>
      <x:c r="E30" s="81"/>
      <x:c r="F30" s="81"/>
      <x:c r="G30" s="81"/>
      <x:c r="H30" s="81"/>
      <x:c r="I30" s="81"/>
    </x:row>
    <x:row r="31">
      <x:c r="A31" s="81"/>
      <x:c r="B31" s="81"/>
      <x:c r="C31" s="81"/>
      <x:c r="D31" s="81"/>
      <x:c r="E31" s="81"/>
      <x:c r="F31" s="81"/>
      <x:c r="G31" s="81"/>
      <x:c r="H31" s="81"/>
      <x:c r="I31" s="81"/>
    </x:row>
    <x:row r="32">
      <x:c r="A32" s="81"/>
      <x:c r="B32" s="81"/>
      <x:c r="C32" s="81"/>
      <x:c r="D32" s="81"/>
      <x:c r="E32" s="81"/>
      <x:c r="F32" s="81"/>
      <x:c r="G32" s="81"/>
      <x:c r="H32" s="81"/>
      <x:c r="I32" s="81"/>
    </x:row>
    <x:row r="33">
      <x:c r="A33" s="81"/>
      <x:c r="B33" s="81"/>
      <x:c r="C33" s="81"/>
      <x:c r="D33" s="81"/>
      <x:c r="E33" s="81"/>
      <x:c r="F33" s="81"/>
      <x:c r="G33" s="81"/>
      <x:c r="H33" s="81"/>
      <x:c r="I33" s="81"/>
    </x:row>
    <x:row r="34">
      <x:c r="A34" s="81"/>
      <x:c r="B34" s="81"/>
      <x:c r="C34" s="81"/>
      <x:c r="D34" s="81"/>
      <x:c r="E34" s="81"/>
      <x:c r="F34" s="81"/>
      <x:c r="G34" s="81"/>
      <x:c r="H34" s="81"/>
      <x:c r="I34" s="81"/>
    </x:row>
    <x:row r="35">
      <x:c r="A35" s="81"/>
      <x:c r="B35" s="81"/>
      <x:c r="C35" s="81"/>
      <x:c r="D35" s="81"/>
      <x:c r="E35" s="81"/>
      <x:c r="F35" s="81"/>
      <x:c r="G35" s="81"/>
      <x:c r="H35" s="81"/>
      <x:c r="I35" s="81"/>
    </x:row>
    <x:row r="36">
      <x:c r="A36" s="81"/>
      <x:c r="B36" s="81"/>
      <x:c r="C36" s="81"/>
      <x:c r="D36" s="81"/>
      <x:c r="E36" s="81"/>
      <x:c r="F36" s="81"/>
      <x:c r="G36" s="81"/>
      <x:c r="H36" s="81"/>
      <x:c r="I36" s="81"/>
    </x:row>
    <x:row r="37">
      <x:c r="A37" s="81"/>
      <x:c r="B37" s="81"/>
      <x:c r="C37" s="81"/>
      <x:c r="D37" s="81"/>
      <x:c r="E37" s="81"/>
      <x:c r="F37" s="81"/>
      <x:c r="G37" s="81"/>
      <x:c r="H37" s="81"/>
      <x:c r="I37" s="81"/>
    </x:row>
    <x:row r="38">
      <x:c r="A38" s="81"/>
      <x:c r="B38" s="81"/>
      <x:c r="C38" s="81"/>
      <x:c r="D38" s="81"/>
      <x:c r="E38" s="81"/>
      <x:c r="F38" s="81"/>
      <x:c r="G38" s="81"/>
      <x:c r="H38" s="81"/>
      <x:c r="I38" s="81"/>
    </x:row>
    <x:row r="39">
      <x:c r="A39" s="81"/>
      <x:c r="B39" s="81"/>
      <x:c r="C39" s="81"/>
      <x:c r="D39" s="81"/>
      <x:c r="E39" s="81"/>
      <x:c r="F39" s="81"/>
      <x:c r="G39" s="81"/>
      <x:c r="H39" s="81"/>
      <x:c r="I39" s="81"/>
    </x:row>
    <x:row r="40">
      <x:c r="A40" s="81"/>
      <x:c r="B40" s="81"/>
      <x:c r="C40" s="81"/>
      <x:c r="D40" s="81"/>
      <x:c r="E40" s="81"/>
      <x:c r="F40" s="81"/>
      <x:c r="G40" s="81"/>
      <x:c r="H40" s="81"/>
      <x:c r="I40" s="81"/>
    </x:row>
  </x:sheetData>
  <x:mergeCells>
    <x:mergeCell ref="A1:H2"/>
    <x:mergeCell ref="A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18" hidden="0" customWidth="1"/>
    <x:col min="4" max="4" width="12" hidden="0" customWidth="1"/>
    <x:col min="5" max="5" width="20" hidden="0" customWidth="1"/>
    <x:col min="6" max="6" width="24" hidden="0" customWidth="1"/>
    <x:col min="7" max="7" width="16" hidden="0" customWidth="1"/>
    <x:col min="8" max="8" width="16" hidden="0" customWidth="1"/>
    <x:col min="9" max="9" width="34" hidden="0" customWidth="1"/>
  </x:cols>
  <x:sheetData>
    <x:row r="1">
      <x:c r="A1" s="10" t="str">
        <x:v>Приоритет</x:v>
      </x:c>
      <x:c r="B1" s="10" t="str">
        <x:v>Действие</x:v>
      </x:c>
      <x:c r="C1" s="10" t="str">
        <x:v>Зона</x:v>
      </x:c>
      <x:c r="D1" s="10" t="str">
        <x:v>Срок</x:v>
      </x:c>
      <x:c r="E1" s="10" t="str">
        <x:v>Ожидаемый эффект, ₽</x:v>
      </x:c>
      <x:c r="F1" s="10" t="str">
        <x:v>Ответственный</x:v>
      </x:c>
      <x:c r="G1" s="10" t="str">
        <x:v>Статус</x:v>
      </x:c>
      <x:c r="H1" s="10" t="str">
        <x:v>Дата выполнения</x:v>
      </x:c>
      <x:c r="I1" s="10" t="str">
        <x:v>Комментарий</x:v>
      </x:c>
    </x:row>
    <x:row r="2">
      <x:c r="A2" s="103" t="n">
        <x:v>1</x:v>
      </x:c>
      <x:c r="B2" s="104" t="str">
        <x:v>Остановить рекламу 6 убыточных SKU</x:v>
      </x:c>
      <x:c r="C2" s="82" t="str">
        <x:v>Реклама</x:v>
      </x:c>
      <x:c r="D2" s="82" t="str">
        <x:v>Сегодня</x:v>
      </x:c>
      <x:c r="E2" s="105" t="n">
        <x:v>171000</x:v>
      </x:c>
      <x:c r="F2" s="82" t="str">
        <x:v>Специалист по рекламе</x:v>
      </x:c>
      <x:c r="G2" s="82" t="str">
        <x:v>Не начато</x:v>
      </x:c>
      <x:c r="H2" s="106"/>
      <x:c r="I2" s="107" t="str"/>
    </x:row>
    <x:row r="3">
      <x:c r="A3" s="87" t="n">
        <x:v>2</x:v>
      </x:c>
      <x:c r="B3" s="88" t="str">
        <x:v>Пересчитать цены 8 убыточных SKU</x:v>
      </x:c>
      <x:c r="C3" s="81" t="str">
        <x:v>Ценообразование</x:v>
      </x:c>
      <x:c r="D3" s="81" t="str">
        <x:v>2 дня</x:v>
      </x:c>
      <x:c r="E3" s="84" t="n">
        <x:v>138000</x:v>
      </x:c>
      <x:c r="F3" s="81" t="str">
        <x:v>Владелец / финансист</x:v>
      </x:c>
      <x:c r="G3" s="81" t="str">
        <x:v>Не начато</x:v>
      </x:c>
      <x:c r="H3" s="108"/>
      <x:c r="I3" s="89" t="str"/>
    </x:row>
    <x:row r="4">
      <x:c r="A4" s="87" t="n">
        <x:v>3</x:v>
      </x:c>
      <x:c r="B4" s="88" t="str">
        <x:v>Не пополнять 11 позиций с избыточным запасом</x:v>
      </x:c>
      <x:c r="C4" s="81" t="str">
        <x:v>Закупки</x:v>
      </x:c>
      <x:c r="D4" s="81" t="str">
        <x:v>Сейчас</x:v>
      </x:c>
      <x:c r="E4" s="84" t="n">
        <x:v>0</x:v>
      </x:c>
      <x:c r="F4" s="81" t="str">
        <x:v>Закупки</x:v>
      </x:c>
      <x:c r="G4" s="81" t="str">
        <x:v>Не начато</x:v>
      </x:c>
      <x:c r="H4" s="108"/>
      <x:c r="I4" s="89" t="str">
        <x:v>Высвобождаемый капитал: до 1 000 000 ₽</x:v>
      </x:c>
    </x:row>
    <x:row r="5">
      <x:c r="A5" s="87" t="n">
        <x:v>4</x:v>
      </x:c>
      <x:c r="B5" s="88" t="str">
        <x:v>Поставить 209 единиц в прибыльные размеры</x:v>
      </x:c>
      <x:c r="C5" s="81" t="str">
        <x:v>Поставки</x:v>
      </x:c>
      <x:c r="D5" s="81" t="str">
        <x:v>3 дня</x:v>
      </x:c>
      <x:c r="E5" s="84" t="n">
        <x:v>94000</x:v>
      </x:c>
      <x:c r="F5" s="81" t="str">
        <x:v>Закупки</x:v>
      </x:c>
      <x:c r="G5" s="81" t="str">
        <x:v>Не начато</x:v>
      </x:c>
      <x:c r="H5" s="108"/>
      <x:c r="I5" s="89" t="str"/>
    </x:row>
    <x:row r="6">
      <x:c r="A6" s="87" t="n">
        <x:v>5</x:v>
      </x:c>
      <x:c r="B6" s="88" t="str">
        <x:v>Разделить рекламу по уровню маржинальности</x:v>
      </x:c>
      <x:c r="C6" s="81" t="str">
        <x:v>Реклама</x:v>
      </x:c>
      <x:c r="D6" s="81" t="str">
        <x:v>5 дней</x:v>
      </x:c>
      <x:c r="E6" s="84" t="n">
        <x:v>67000</x:v>
      </x:c>
      <x:c r="F6" s="81" t="str">
        <x:v>Специалист по рекламе</x:v>
      </x:c>
      <x:c r="G6" s="81" t="str">
        <x:v>Не начато</x:v>
      </x:c>
      <x:c r="H6" s="108"/>
      <x:c r="I6" s="89" t="str"/>
    </x:row>
    <x:row r="7">
      <x:c r="A7" s="109" t="n">
        <x:v>6</x:v>
      </x:c>
      <x:c r="B7" s="90" t="str">
        <x:v>Ввести еженедельный контроль прибыли по SKU</x:v>
      </x:c>
      <x:c r="C7" s="110" t="str">
        <x:v>Аналитика</x:v>
      </x:c>
      <x:c r="D7" s="110" t="str">
        <x:v>7 дней</x:v>
      </x:c>
      <x:c r="E7" s="111" t="n">
        <x:v>24000</x:v>
      </x:c>
      <x:c r="F7" s="110" t="str">
        <x:v>Владелец / аналитик</x:v>
      </x:c>
      <x:c r="G7" s="110" t="str">
        <x:v>Не начато</x:v>
      </x:c>
      <x:c r="H7" s="112"/>
      <x:c r="I7" s="91" t="str"/>
    </x:row>
    <x:row r="8">
      <x:c r="A8" s="81"/>
      <x:c r="B8" s="81"/>
      <x:c r="C8" s="81"/>
      <x:c r="D8" s="81"/>
      <x:c r="E8" s="81"/>
      <x:c r="F8" s="81"/>
      <x:c r="G8" s="81"/>
      <x:c r="H8" s="81"/>
      <x:c r="I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</x:row>
    <x:row r="10">
      <x:c r="A10" s="81"/>
      <x:c r="B10" s="81"/>
      <x:c r="C10" s="81"/>
      <x:c r="D10" s="81"/>
      <x:c r="E10" s="81"/>
      <x:c r="F10" s="81"/>
      <x:c r="G10" s="81"/>
      <x:c r="H10" s="81"/>
      <x:c r="I10" s="81"/>
    </x:row>
    <x:row r="11">
      <x:c r="A11" s="81"/>
      <x:c r="B11" s="81"/>
      <x:c r="C11" s="81"/>
      <x:c r="D11" s="81"/>
      <x:c r="E11" s="81"/>
      <x:c r="F11" s="81"/>
      <x:c r="G11" s="81"/>
      <x:c r="H11" s="81"/>
      <x:c r="I11" s="81"/>
    </x:row>
    <x:row r="12">
      <x:c r="A12" s="81"/>
      <x:c r="B12" s="81"/>
      <x:c r="C12" s="81"/>
      <x:c r="D12" s="81"/>
      <x:c r="E12" s="81"/>
      <x:c r="F12" s="81"/>
      <x:c r="G12" s="81"/>
      <x:c r="H12" s="81"/>
      <x:c r="I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</x:row>
    <x:row r="16">
      <x:c r="A16" s="81"/>
      <x:c r="B16" s="81"/>
      <x:c r="C16" s="81"/>
      <x:c r="D16" s="81"/>
      <x:c r="E16" s="81"/>
      <x:c r="F16" s="81"/>
      <x:c r="G16" s="81"/>
      <x:c r="H16" s="81"/>
      <x:c r="I16" s="81"/>
    </x:row>
    <x:row r="17">
      <x:c r="A17" s="81"/>
      <x:c r="B17" s="81"/>
      <x:c r="C17" s="81"/>
      <x:c r="D17" s="81"/>
      <x:c r="E17" s="81"/>
      <x:c r="F17" s="81"/>
      <x:c r="G17" s="81"/>
      <x:c r="H17" s="81"/>
      <x:c r="I17" s="81"/>
    </x:row>
    <x:row r="18">
      <x:c r="A18" s="81"/>
      <x:c r="B18" s="81"/>
      <x:c r="C18" s="81"/>
      <x:c r="D18" s="81"/>
      <x:c r="E18" s="81"/>
      <x:c r="F18" s="81"/>
      <x:c r="G18" s="81"/>
      <x:c r="H18" s="81"/>
      <x:c r="I18" s="81"/>
    </x:row>
    <x:row r="19">
      <x:c r="A19" s="81"/>
      <x:c r="B19" s="81"/>
      <x:c r="C19" s="81"/>
      <x:c r="D19" s="81"/>
      <x:c r="E19" s="81"/>
      <x:c r="F19" s="81"/>
      <x:c r="G19" s="81"/>
      <x:c r="H19" s="81"/>
      <x:c r="I19" s="81"/>
    </x:row>
    <x:row r="20">
      <x:c r="A20" s="81"/>
      <x:c r="B20" s="81"/>
      <x:c r="C20" s="81"/>
      <x:c r="D20" s="81"/>
      <x:c r="E20" s="81"/>
      <x:c r="F20" s="81"/>
      <x:c r="G20" s="81"/>
      <x:c r="H20" s="81"/>
      <x:c r="I20" s="81"/>
    </x:row>
    <x:row r="21">
      <x:c r="A21" s="81"/>
      <x:c r="B21" s="81"/>
      <x:c r="C21" s="81"/>
      <x:c r="D21" s="81"/>
      <x:c r="E21" s="81"/>
      <x:c r="F21" s="81"/>
      <x:c r="G21" s="81"/>
      <x:c r="H21" s="81"/>
      <x:c r="I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</x:row>
    <x:row r="24">
      <x:c r="A24" s="81"/>
      <x:c r="B24" s="81"/>
      <x:c r="C24" s="81"/>
      <x:c r="D24" s="81"/>
      <x:c r="E24" s="81"/>
      <x:c r="F24" s="81"/>
      <x:c r="G24" s="81"/>
      <x:c r="H24" s="81"/>
      <x:c r="I24" s="81"/>
    </x:row>
    <x:row r="25">
      <x:c r="A25" s="81"/>
      <x:c r="B25" s="81"/>
      <x:c r="C25" s="81"/>
      <x:c r="D25" s="81"/>
      <x:c r="E25" s="81"/>
      <x:c r="F25" s="81"/>
      <x:c r="G25" s="81"/>
      <x:c r="H25" s="81"/>
      <x:c r="I25" s="81"/>
    </x:row>
    <x:row r="26">
      <x:c r="A26" s="81"/>
      <x:c r="B26" s="81"/>
      <x:c r="C26" s="81"/>
      <x:c r="D26" s="81"/>
      <x:c r="E26" s="81"/>
      <x:c r="F26" s="81"/>
      <x:c r="G26" s="81"/>
      <x:c r="H26" s="81"/>
      <x:c r="I26" s="81"/>
    </x:row>
    <x:row r="27">
      <x:c r="A27" s="81"/>
      <x:c r="B27" s="81"/>
      <x:c r="C27" s="81"/>
      <x:c r="D27" s="81"/>
      <x:c r="E27" s="81"/>
      <x:c r="F27" s="81"/>
      <x:c r="G27" s="81"/>
      <x:c r="H27" s="81"/>
      <x:c r="I27" s="81"/>
    </x:row>
    <x:row r="28">
      <x:c r="A28" s="81"/>
      <x:c r="B28" s="81"/>
      <x:c r="C28" s="81"/>
      <x:c r="D28" s="81"/>
      <x:c r="E28" s="81"/>
      <x:c r="F28" s="81"/>
      <x:c r="G28" s="81"/>
      <x:c r="H28" s="81"/>
      <x:c r="I28" s="81"/>
    </x:row>
    <x:row r="29">
      <x:c r="A29" s="81"/>
      <x:c r="B29" s="81"/>
      <x:c r="C29" s="81"/>
      <x:c r="D29" s="81"/>
      <x:c r="E29" s="81"/>
      <x:c r="F29" s="81"/>
      <x:c r="G29" s="81"/>
      <x:c r="H29" s="81"/>
      <x:c r="I29" s="81"/>
    </x:row>
    <x:row r="30">
      <x:c r="A30" s="81"/>
      <x:c r="B30" s="81"/>
      <x:c r="C30" s="81"/>
      <x:c r="D30" s="81"/>
      <x:c r="E30" s="81"/>
      <x:c r="F30" s="81"/>
      <x:c r="G30" s="81"/>
      <x:c r="H30" s="81"/>
      <x:c r="I30" s="81"/>
    </x:row>
    <x:row r="31">
      <x:c r="A31" s="81"/>
      <x:c r="B31" s="81"/>
      <x:c r="C31" s="81"/>
      <x:c r="D31" s="81"/>
      <x:c r="E31" s="81"/>
      <x:c r="F31" s="81"/>
      <x:c r="G31" s="81"/>
      <x:c r="H31" s="81"/>
      <x:c r="I31" s="81"/>
    </x:row>
    <x:row r="32">
      <x:c r="A32" s="81"/>
      <x:c r="B32" s="81"/>
      <x:c r="C32" s="81"/>
      <x:c r="D32" s="81"/>
      <x:c r="E32" s="81"/>
      <x:c r="F32" s="81"/>
      <x:c r="G32" s="81"/>
      <x:c r="H32" s="81"/>
      <x:c r="I32" s="81"/>
    </x:row>
    <x:row r="33">
      <x:c r="A33" s="81"/>
      <x:c r="B33" s="81"/>
      <x:c r="C33" s="81"/>
      <x:c r="D33" s="81"/>
      <x:c r="E33" s="81"/>
      <x:c r="F33" s="81"/>
      <x:c r="G33" s="81"/>
      <x:c r="H33" s="81"/>
      <x:c r="I33" s="81"/>
    </x:row>
    <x:row r="34">
      <x:c r="A34" s="81"/>
      <x:c r="B34" s="81"/>
      <x:c r="C34" s="81"/>
      <x:c r="D34" s="81"/>
      <x:c r="E34" s="81"/>
      <x:c r="F34" s="81"/>
      <x:c r="G34" s="81"/>
      <x:c r="H34" s="81"/>
      <x:c r="I34" s="81"/>
    </x:row>
    <x:row r="35">
      <x:c r="A35" s="81"/>
      <x:c r="B35" s="81"/>
      <x:c r="C35" s="81"/>
      <x:c r="D35" s="81"/>
      <x:c r="E35" s="81"/>
      <x:c r="F35" s="81"/>
      <x:c r="G35" s="81"/>
      <x:c r="H35" s="81"/>
      <x:c r="I35" s="81"/>
    </x:row>
    <x:row r="36">
      <x:c r="A36" s="81"/>
      <x:c r="B36" s="81"/>
      <x:c r="C36" s="81"/>
      <x:c r="D36" s="81"/>
      <x:c r="E36" s="81"/>
      <x:c r="F36" s="81"/>
      <x:c r="G36" s="81"/>
      <x:c r="H36" s="81"/>
      <x:c r="I36" s="81"/>
    </x:row>
    <x:row r="37">
      <x:c r="A37" s="81"/>
      <x:c r="B37" s="81"/>
      <x:c r="C37" s="81"/>
      <x:c r="D37" s="81"/>
      <x:c r="E37" s="81"/>
      <x:c r="F37" s="81"/>
      <x:c r="G37" s="81"/>
      <x:c r="H37" s="81"/>
      <x:c r="I37" s="81"/>
    </x:row>
    <x:row r="38">
      <x:c r="A38" s="81"/>
      <x:c r="B38" s="81"/>
      <x:c r="C38" s="81"/>
      <x:c r="D38" s="81"/>
      <x:c r="E38" s="81"/>
      <x:c r="F38" s="81"/>
      <x:c r="G38" s="81"/>
      <x:c r="H38" s="81"/>
      <x:c r="I38" s="81"/>
    </x:row>
    <x:row r="39">
      <x:c r="A39" s="81"/>
      <x:c r="B39" s="81"/>
      <x:c r="C39" s="81"/>
      <x:c r="D39" s="81"/>
      <x:c r="E39" s="81"/>
      <x:c r="F39" s="81"/>
      <x:c r="G39" s="81"/>
      <x:c r="H39" s="81"/>
      <x:c r="I39" s="81"/>
    </x:row>
    <x:row r="40">
      <x:c r="A40" s="81"/>
      <x:c r="B40" s="81"/>
      <x:c r="C40" s="81"/>
      <x:c r="D40" s="81"/>
      <x:c r="E40" s="81"/>
      <x:c r="F40" s="81"/>
      <x:c r="G40" s="81"/>
      <x:c r="H40" s="81"/>
      <x:c r="I40" s="81"/>
    </x:row>
  </x:sheetData>
  <x:conditionalFormatting sqref="G2:G200">
    <x:cfRule type="expression" dxfId="0" priority="1">
      <x:formula>G2="Выполнено"</x:formula>
    </x:cfRule>
    <x:cfRule type="expression" dxfId="1" priority="2">
      <x:formula>G2="В работе"</x:formula>
    </x:cfRule>
    <x:cfRule type="expression" dxfId="2" priority="3">
      <x:formula>G2="Отложено"</x:formula>
    </x:cfRule>
  </x:conditionalFormatting>
  <x:dataValidations count="1">
    <x:dataValidation type="list" sqref="G2:G200">
      <x:formula1>Списки!$A$2:$A$5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bc4df9b65454d0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5" hidden="0" customWidth="1"/>
    <x:col min="3" max="3" width="25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8" hidden="0" customWidth="1"/>
    <x:col min="9" max="9" width="30" hidden="0" customWidth="1"/>
  </x:cols>
  <x:sheetData>
    <x:row r="1">
      <x:c r="A1" s="10" t="str">
        <x:v>Неделя</x:v>
      </x:c>
      <x:c r="B1" s="10" t="str">
        <x:v>Дата контроля</x:v>
      </x:c>
      <x:c r="C1" s="10" t="str">
        <x:v>Показатель</x:v>
      </x:c>
      <x:c r="D1" s="10" t="str">
        <x:v>База</x:v>
      </x:c>
      <x:c r="E1" s="10" t="str">
        <x:v>Цель</x:v>
      </x:c>
      <x:c r="F1" s="10" t="str">
        <x:v>Факт</x:v>
      </x:c>
      <x:c r="G1" s="10" t="str">
        <x:v>Отклонение от цели</x:v>
      </x:c>
      <x:c r="H1" s="10" t="str">
        <x:v>Статус</x:v>
      </x:c>
      <x:c r="I1" s="10" t="str">
        <x:v>Комментарий</x:v>
      </x:c>
    </x:row>
    <x:row r="2">
      <x:c r="A2" s="103" t="n">
        <x:v>1</x:v>
      </x:c>
      <x:c r="B2" s="106" t="n">
        <x:v>46223</x:v>
      </x:c>
      <x:c r="C2" s="82" t="str">
        <x:v>Чистая маржа, %</x:v>
      </x:c>
      <x:c r="D2" s="123" t="n">
        <x:v>18</x:v>
      </x:c>
      <x:c r="E2" s="123" t="n">
        <x:v>20.1</x:v>
      </x:c>
      <x:c r="F2" s="123"/>
      <x:c r="G2" s="123" t="str">
        <x:f>IF(F2="","",F2-E2)</x:f>
      </x:c>
      <x:c r="H2" s="82" t="str">
        <x:f>IF(F2="","Не заполнено",IF(OR(AND(ISNUMBER(SEARCH("%",C2)),ABS(F2-E2)&lt;=0.5),AND(NOT(ISNUMBER(SEARCH("%",C2))),F2&lt;=E2)),"Цель достигнута","Нужно внимание"))</x:f>
        <x:v>Не заполнено</x:v>
      </x:c>
      <x:c r="I2" s="83" t="str"/>
    </x:row>
    <x:row r="3">
      <x:c r="A3" s="87" t="n">
        <x:v>1</x:v>
      </x:c>
      <x:c r="B3" s="108" t="n">
        <x:v>46223</x:v>
      </x:c>
      <x:c r="C3" s="81" t="str">
        <x:v>Рекламная доля, %</x:v>
      </x:c>
      <x:c r="D3" s="124" t="n">
        <x:v>9</x:v>
      </x:c>
      <x:c r="E3" s="124" t="n">
        <x:v>7.8</x:v>
      </x:c>
      <x:c r="F3" s="124"/>
      <x:c r="G3" s="124" t="str">
        <x:f>IF(F3="","",F3-E3)</x:f>
      </x:c>
      <x:c r="H3" s="81" t="str">
        <x:f>IF(F3="","Не заполнено",IF(OR(AND(ISNUMBER(SEARCH("%",C3)),ABS(F3-E3)&lt;=0.5),AND(NOT(ISNUMBER(SEARCH("%",C3))),F3&lt;=E3)),"Цель достигнута","Нужно внимание"))</x:f>
        <x:v>Не заполнено</x:v>
      </x:c>
      <x:c r="I3" s="85" t="str"/>
    </x:row>
    <x:row r="4">
      <x:c r="A4" s="87" t="n">
        <x:v>1</x:v>
      </x:c>
      <x:c r="B4" s="108" t="n">
        <x:v>46223</x:v>
      </x:c>
      <x:c r="C4" s="81" t="str">
        <x:v>Убыточные SKU, шт.</x:v>
      </x:c>
      <x:c r="D4" s="124" t="n">
        <x:v>8</x:v>
      </x:c>
      <x:c r="E4" s="124" t="n">
        <x:v>2</x:v>
      </x:c>
      <x:c r="F4" s="124"/>
      <x:c r="G4" s="124" t="str">
        <x:f>IF(F4="","",F4-E4)</x:f>
      </x:c>
      <x:c r="H4" s="81" t="str">
        <x:f>IF(F4="","Не заполнено",IF(OR(AND(ISNUMBER(SEARCH("%",C4)),ABS(F4-E4)&lt;=0.5),AND(NOT(ISNUMBER(SEARCH("%",C4))),F4&lt;=E4)),"Цель достигнута","Нужно внимание"))</x:f>
        <x:v>Не заполнено</x:v>
      </x:c>
      <x:c r="I4" s="85" t="str"/>
    </x:row>
    <x:row r="5">
      <x:c r="A5" s="87" t="n">
        <x:v>1</x:v>
      </x:c>
      <x:c r="B5" s="108" t="n">
        <x:v>46223</x:v>
      </x:c>
      <x:c r="C5" s="81" t="str">
        <x:v>Избыточный запас, ₽</x:v>
      </x:c>
      <x:c r="D5" s="124" t="n">
        <x:v>1000000</x:v>
      </x:c>
      <x:c r="E5" s="124" t="n">
        <x:v>450000</x:v>
      </x:c>
      <x:c r="F5" s="124"/>
      <x:c r="G5" s="124" t="str">
        <x:f>IF(F5="","",F5-E5)</x:f>
      </x:c>
      <x:c r="H5" s="81" t="str">
        <x:f>IF(F5="","Не заполнено",IF(OR(AND(ISNUMBER(SEARCH("%",C5)),ABS(F5-E5)&lt;=0.5),AND(NOT(ISNUMBER(SEARCH("%",C5))),F5&lt;=E5)),"Цель достигнута","Нужно внимание"))</x:f>
        <x:v>Не заполнено</x:v>
      </x:c>
      <x:c r="I5" s="85" t="str"/>
    </x:row>
    <x:row r="6">
      <x:c r="A6" s="87" t="n">
        <x:v>2</x:v>
      </x:c>
      <x:c r="B6" s="108" t="n">
        <x:v>46230</x:v>
      </x:c>
      <x:c r="C6" s="81" t="str">
        <x:v>Чистая маржа, %</x:v>
      </x:c>
      <x:c r="D6" s="124" t="n">
        <x:v>18</x:v>
      </x:c>
      <x:c r="E6" s="124" t="n">
        <x:v>20.1</x:v>
      </x:c>
      <x:c r="F6" s="124"/>
      <x:c r="G6" s="124" t="str">
        <x:f>IF(F6="","",F6-E6)</x:f>
      </x:c>
      <x:c r="H6" s="81" t="str">
        <x:f>IF(F6="","Не заполнено",IF(OR(AND(ISNUMBER(SEARCH("%",C6)),ABS(F6-E6)&lt;=0.5),AND(NOT(ISNUMBER(SEARCH("%",C6))),F6&lt;=E6)),"Цель достигнута","Нужно внимание"))</x:f>
        <x:v>Не заполнено</x:v>
      </x:c>
      <x:c r="I6" s="85" t="str"/>
    </x:row>
    <x:row r="7">
      <x:c r="A7" s="87" t="n">
        <x:v>2</x:v>
      </x:c>
      <x:c r="B7" s="108" t="n">
        <x:v>46230</x:v>
      </x:c>
      <x:c r="C7" s="81" t="str">
        <x:v>Рекламная доля, %</x:v>
      </x:c>
      <x:c r="D7" s="124" t="n">
        <x:v>9</x:v>
      </x:c>
      <x:c r="E7" s="124" t="n">
        <x:v>7.8</x:v>
      </x:c>
      <x:c r="F7" s="124"/>
      <x:c r="G7" s="124" t="str">
        <x:f>IF(F7="","",F7-E7)</x:f>
      </x:c>
      <x:c r="H7" s="81" t="str">
        <x:f>IF(F7="","Не заполнено",IF(OR(AND(ISNUMBER(SEARCH("%",C7)),ABS(F7-E7)&lt;=0.5),AND(NOT(ISNUMBER(SEARCH("%",C7))),F7&lt;=E7)),"Цель достигнута","Нужно внимание"))</x:f>
        <x:v>Не заполнено</x:v>
      </x:c>
      <x:c r="I7" s="85" t="str"/>
    </x:row>
    <x:row r="8">
      <x:c r="A8" s="87" t="n">
        <x:v>2</x:v>
      </x:c>
      <x:c r="B8" s="108" t="n">
        <x:v>46230</x:v>
      </x:c>
      <x:c r="C8" s="81" t="str">
        <x:v>Убыточные SKU, шт.</x:v>
      </x:c>
      <x:c r="D8" s="124" t="n">
        <x:v>8</x:v>
      </x:c>
      <x:c r="E8" s="124" t="n">
        <x:v>2</x:v>
      </x:c>
      <x:c r="F8" s="124"/>
      <x:c r="G8" s="124" t="str">
        <x:f>IF(F8="","",F8-E8)</x:f>
      </x:c>
      <x:c r="H8" s="81" t="str">
        <x:f>IF(F8="","Не заполнено",IF(OR(AND(ISNUMBER(SEARCH("%",C8)),ABS(F8-E8)&lt;=0.5),AND(NOT(ISNUMBER(SEARCH("%",C8))),F8&lt;=E8)),"Цель достигнута","Нужно внимание"))</x:f>
        <x:v>Не заполнено</x:v>
      </x:c>
      <x:c r="I8" s="85" t="str"/>
    </x:row>
    <x:row r="9">
      <x:c r="A9" s="87" t="n">
        <x:v>2</x:v>
      </x:c>
      <x:c r="B9" s="108" t="n">
        <x:v>46230</x:v>
      </x:c>
      <x:c r="C9" s="81" t="str">
        <x:v>Избыточный запас, ₽</x:v>
      </x:c>
      <x:c r="D9" s="124" t="n">
        <x:v>1000000</x:v>
      </x:c>
      <x:c r="E9" s="124" t="n">
        <x:v>450000</x:v>
      </x:c>
      <x:c r="F9" s="124"/>
      <x:c r="G9" s="124" t="str">
        <x:f>IF(F9="","",F9-E9)</x:f>
      </x:c>
      <x:c r="H9" s="81" t="str">
        <x:f>IF(F9="","Не заполнено",IF(OR(AND(ISNUMBER(SEARCH("%",C9)),ABS(F9-E9)&lt;=0.5),AND(NOT(ISNUMBER(SEARCH("%",C9))),F9&lt;=E9)),"Цель достигнута","Нужно внимание"))</x:f>
        <x:v>Не заполнено</x:v>
      </x:c>
      <x:c r="I9" s="85" t="str"/>
    </x:row>
    <x:row r="10">
      <x:c r="A10" s="87" t="n">
        <x:v>3</x:v>
      </x:c>
      <x:c r="B10" s="108" t="n">
        <x:v>46237</x:v>
      </x:c>
      <x:c r="C10" s="81" t="str">
        <x:v>Чистая маржа, %</x:v>
      </x:c>
      <x:c r="D10" s="124" t="n">
        <x:v>18</x:v>
      </x:c>
      <x:c r="E10" s="124" t="n">
        <x:v>20.1</x:v>
      </x:c>
      <x:c r="F10" s="124"/>
      <x:c r="G10" s="124" t="str">
        <x:f>IF(F10="","",F10-E10)</x:f>
      </x:c>
      <x:c r="H10" s="81" t="str">
        <x:f>IF(F10="","Не заполнено",IF(OR(AND(ISNUMBER(SEARCH("%",C10)),ABS(F10-E10)&lt;=0.5),AND(NOT(ISNUMBER(SEARCH("%",C10))),F10&lt;=E10)),"Цель достигнута","Нужно внимание"))</x:f>
        <x:v>Не заполнено</x:v>
      </x:c>
      <x:c r="I10" s="85" t="str"/>
    </x:row>
    <x:row r="11">
      <x:c r="A11" s="87" t="n">
        <x:v>3</x:v>
      </x:c>
      <x:c r="B11" s="108" t="n">
        <x:v>46237</x:v>
      </x:c>
      <x:c r="C11" s="81" t="str">
        <x:v>Рекламная доля, %</x:v>
      </x:c>
      <x:c r="D11" s="124" t="n">
        <x:v>9</x:v>
      </x:c>
      <x:c r="E11" s="124" t="n">
        <x:v>7.8</x:v>
      </x:c>
      <x:c r="F11" s="124"/>
      <x:c r="G11" s="124" t="str">
        <x:f>IF(F11="","",F11-E11)</x:f>
      </x:c>
      <x:c r="H11" s="81" t="str">
        <x:f>IF(F11="","Не заполнено",IF(OR(AND(ISNUMBER(SEARCH("%",C11)),ABS(F11-E11)&lt;=0.5),AND(NOT(ISNUMBER(SEARCH("%",C11))),F11&lt;=E11)),"Цель достигнута","Нужно внимание"))</x:f>
        <x:v>Не заполнено</x:v>
      </x:c>
      <x:c r="I11" s="85" t="str"/>
    </x:row>
    <x:row r="12">
      <x:c r="A12" s="87" t="n">
        <x:v>3</x:v>
      </x:c>
      <x:c r="B12" s="108" t="n">
        <x:v>46237</x:v>
      </x:c>
      <x:c r="C12" s="81" t="str">
        <x:v>Убыточные SKU, шт.</x:v>
      </x:c>
      <x:c r="D12" s="124" t="n">
        <x:v>8</x:v>
      </x:c>
      <x:c r="E12" s="124" t="n">
        <x:v>2</x:v>
      </x:c>
      <x:c r="F12" s="124"/>
      <x:c r="G12" s="124" t="str">
        <x:f>IF(F12="","",F12-E12)</x:f>
      </x:c>
      <x:c r="H12" s="81" t="str">
        <x:f>IF(F12="","Не заполнено",IF(OR(AND(ISNUMBER(SEARCH("%",C12)),ABS(F12-E12)&lt;=0.5),AND(NOT(ISNUMBER(SEARCH("%",C12))),F12&lt;=E12)),"Цель достигнута","Нужно внимание"))</x:f>
        <x:v>Не заполнено</x:v>
      </x:c>
      <x:c r="I12" s="85" t="str"/>
    </x:row>
    <x:row r="13">
      <x:c r="A13" s="87" t="n">
        <x:v>3</x:v>
      </x:c>
      <x:c r="B13" s="108" t="n">
        <x:v>46237</x:v>
      </x:c>
      <x:c r="C13" s="81" t="str">
        <x:v>Избыточный запас, ₽</x:v>
      </x:c>
      <x:c r="D13" s="124" t="n">
        <x:v>1000000</x:v>
      </x:c>
      <x:c r="E13" s="124" t="n">
        <x:v>450000</x:v>
      </x:c>
      <x:c r="F13" s="124"/>
      <x:c r="G13" s="124" t="str">
        <x:f>IF(F13="","",F13-E13)</x:f>
      </x:c>
      <x:c r="H13" s="81" t="str">
        <x:f>IF(F13="","Не заполнено",IF(OR(AND(ISNUMBER(SEARCH("%",C13)),ABS(F13-E13)&lt;=0.5),AND(NOT(ISNUMBER(SEARCH("%",C13))),F13&lt;=E13)),"Цель достигнута","Нужно внимание"))</x:f>
        <x:v>Не заполнено</x:v>
      </x:c>
      <x:c r="I13" s="85" t="str"/>
    </x:row>
    <x:row r="14">
      <x:c r="A14" s="87" t="n">
        <x:v>4</x:v>
      </x:c>
      <x:c r="B14" s="108" t="n">
        <x:v>46244</x:v>
      </x:c>
      <x:c r="C14" s="81" t="str">
        <x:v>Чистая маржа, %</x:v>
      </x:c>
      <x:c r="D14" s="124" t="n">
        <x:v>18</x:v>
      </x:c>
      <x:c r="E14" s="124" t="n">
        <x:v>20.1</x:v>
      </x:c>
      <x:c r="F14" s="124"/>
      <x:c r="G14" s="124" t="str">
        <x:f>IF(F14="","",F14-E14)</x:f>
      </x:c>
      <x:c r="H14" s="81" t="str">
        <x:f>IF(F14="","Не заполнено",IF(OR(AND(ISNUMBER(SEARCH("%",C14)),ABS(F14-E14)&lt;=0.5),AND(NOT(ISNUMBER(SEARCH("%",C14))),F14&lt;=E14)),"Цель достигнута","Нужно внимание"))</x:f>
        <x:v>Не заполнено</x:v>
      </x:c>
      <x:c r="I14" s="85" t="str"/>
    </x:row>
    <x:row r="15">
      <x:c r="A15" s="87" t="n">
        <x:v>4</x:v>
      </x:c>
      <x:c r="B15" s="108" t="n">
        <x:v>46244</x:v>
      </x:c>
      <x:c r="C15" s="81" t="str">
        <x:v>Рекламная доля, %</x:v>
      </x:c>
      <x:c r="D15" s="124" t="n">
        <x:v>9</x:v>
      </x:c>
      <x:c r="E15" s="124" t="n">
        <x:v>7.8</x:v>
      </x:c>
      <x:c r="F15" s="124"/>
      <x:c r="G15" s="124" t="str">
        <x:f>IF(F15="","",F15-E15)</x:f>
      </x:c>
      <x:c r="H15" s="81" t="str">
        <x:f>IF(F15="","Не заполнено",IF(OR(AND(ISNUMBER(SEARCH("%",C15)),ABS(F15-E15)&lt;=0.5),AND(NOT(ISNUMBER(SEARCH("%",C15))),F15&lt;=E15)),"Цель достигнута","Нужно внимание"))</x:f>
        <x:v>Не заполнено</x:v>
      </x:c>
      <x:c r="I15" s="85" t="str"/>
    </x:row>
    <x:row r="16">
      <x:c r="A16" s="87" t="n">
        <x:v>4</x:v>
      </x:c>
      <x:c r="B16" s="108" t="n">
        <x:v>46244</x:v>
      </x:c>
      <x:c r="C16" s="81" t="str">
        <x:v>Убыточные SKU, шт.</x:v>
      </x:c>
      <x:c r="D16" s="124" t="n">
        <x:v>8</x:v>
      </x:c>
      <x:c r="E16" s="124" t="n">
        <x:v>2</x:v>
      </x:c>
      <x:c r="F16" s="124"/>
      <x:c r="G16" s="124" t="str">
        <x:f>IF(F16="","",F16-E16)</x:f>
      </x:c>
      <x:c r="H16" s="81" t="str">
        <x:f>IF(F16="","Не заполнено",IF(OR(AND(ISNUMBER(SEARCH("%",C16)),ABS(F16-E16)&lt;=0.5),AND(NOT(ISNUMBER(SEARCH("%",C16))),F16&lt;=E16)),"Цель достигнута","Нужно внимание"))</x:f>
        <x:v>Не заполнено</x:v>
      </x:c>
      <x:c r="I16" s="85" t="str"/>
    </x:row>
    <x:row r="17">
      <x:c r="A17" s="109" t="n">
        <x:v>4</x:v>
      </x:c>
      <x:c r="B17" s="112" t="n">
        <x:v>46244</x:v>
      </x:c>
      <x:c r="C17" s="110" t="str">
        <x:v>Избыточный запас, ₽</x:v>
      </x:c>
      <x:c r="D17" s="125" t="n">
        <x:v>1000000</x:v>
      </x:c>
      <x:c r="E17" s="125" t="n">
        <x:v>450000</x:v>
      </x:c>
      <x:c r="F17" s="125"/>
      <x:c r="G17" s="125" t="str">
        <x:f>IF(F17="","",F17-E17)</x:f>
      </x:c>
      <x:c r="H17" s="110" t="str">
        <x:f>IF(F17="","Не заполнено",IF(OR(AND(ISNUMBER(SEARCH("%",C17)),ABS(F17-E17)&lt;=0.5),AND(NOT(ISNUMBER(SEARCH("%",C17))),F17&lt;=E17)),"Цель достигнута","Нужно внимание"))</x:f>
        <x:v>Не заполнено</x:v>
      </x:c>
      <x:c r="I17" s="126" t="str"/>
    </x:row>
    <x:row r="18">
      <x:c r="A18" s="81"/>
      <x:c r="B18" s="81"/>
      <x:c r="C18" s="81"/>
      <x:c r="D18" s="81"/>
      <x:c r="E18" s="81"/>
      <x:c r="F18" s="81"/>
      <x:c r="G18" s="81"/>
      <x:c r="H18" s="81"/>
      <x:c r="I18" s="81"/>
    </x:row>
    <x:row r="19">
      <x:c r="A19" s="81"/>
      <x:c r="B19" s="81"/>
      <x:c r="C19" s="81"/>
      <x:c r="D19" s="81"/>
      <x:c r="E19" s="81"/>
      <x:c r="F19" s="81"/>
      <x:c r="G19" s="81"/>
      <x:c r="H19" s="81"/>
      <x:c r="I19" s="81"/>
    </x:row>
    <x:row r="20">
      <x:c r="A20" s="81"/>
      <x:c r="B20" s="81"/>
      <x:c r="C20" s="81"/>
      <x:c r="D20" s="81"/>
      <x:c r="E20" s="81"/>
      <x:c r="F20" s="81"/>
      <x:c r="G20" s="81"/>
      <x:c r="H20" s="81"/>
      <x:c r="I20" s="81"/>
    </x:row>
    <x:row r="21">
      <x:c r="A21" s="81"/>
      <x:c r="B21" s="81"/>
      <x:c r="C21" s="81"/>
      <x:c r="D21" s="81"/>
      <x:c r="E21" s="81"/>
      <x:c r="F21" s="81"/>
      <x:c r="G21" s="81"/>
      <x:c r="H21" s="81"/>
      <x:c r="I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</x:row>
    <x:row r="24">
      <x:c r="A24" s="81"/>
      <x:c r="B24" s="81"/>
      <x:c r="C24" s="81"/>
      <x:c r="D24" s="81"/>
      <x:c r="E24" s="81"/>
      <x:c r="F24" s="81"/>
      <x:c r="G24" s="81"/>
      <x:c r="H24" s="81"/>
      <x:c r="I24" s="81"/>
    </x:row>
    <x:row r="25">
      <x:c r="A25" s="81"/>
      <x:c r="B25" s="81"/>
      <x:c r="C25" s="81"/>
      <x:c r="D25" s="81"/>
      <x:c r="E25" s="81"/>
      <x:c r="F25" s="81"/>
      <x:c r="G25" s="81"/>
      <x:c r="H25" s="81"/>
      <x:c r="I25" s="81"/>
    </x:row>
    <x:row r="26">
      <x:c r="A26" s="81"/>
      <x:c r="B26" s="81"/>
      <x:c r="C26" s="81"/>
      <x:c r="D26" s="81"/>
      <x:c r="E26" s="81"/>
      <x:c r="F26" s="81"/>
      <x:c r="G26" s="81"/>
      <x:c r="H26" s="81"/>
      <x:c r="I26" s="81"/>
    </x:row>
    <x:row r="27">
      <x:c r="A27" s="81"/>
      <x:c r="B27" s="81"/>
      <x:c r="C27" s="81"/>
      <x:c r="D27" s="81"/>
      <x:c r="E27" s="81"/>
      <x:c r="F27" s="81"/>
      <x:c r="G27" s="81"/>
      <x:c r="H27" s="81"/>
      <x:c r="I27" s="81"/>
    </x:row>
    <x:row r="28">
      <x:c r="A28" s="81"/>
      <x:c r="B28" s="81"/>
      <x:c r="C28" s="81"/>
      <x:c r="D28" s="81"/>
      <x:c r="E28" s="81"/>
      <x:c r="F28" s="81"/>
      <x:c r="G28" s="81"/>
      <x:c r="H28" s="81"/>
      <x:c r="I28" s="81"/>
    </x:row>
    <x:row r="29">
      <x:c r="A29" s="81"/>
      <x:c r="B29" s="81"/>
      <x:c r="C29" s="81"/>
      <x:c r="D29" s="81"/>
      <x:c r="E29" s="81"/>
      <x:c r="F29" s="81"/>
      <x:c r="G29" s="81"/>
      <x:c r="H29" s="81"/>
      <x:c r="I29" s="81"/>
    </x:row>
    <x:row r="30">
      <x:c r="A30" s="81"/>
      <x:c r="B30" s="81"/>
      <x:c r="C30" s="81"/>
      <x:c r="D30" s="81"/>
      <x:c r="E30" s="81"/>
      <x:c r="F30" s="81"/>
      <x:c r="G30" s="81"/>
      <x:c r="H30" s="81"/>
      <x:c r="I30" s="81"/>
    </x:row>
    <x:row r="31">
      <x:c r="A31" s="81"/>
      <x:c r="B31" s="81"/>
      <x:c r="C31" s="81"/>
      <x:c r="D31" s="81"/>
      <x:c r="E31" s="81"/>
      <x:c r="F31" s="81"/>
      <x:c r="G31" s="81"/>
      <x:c r="H31" s="81"/>
      <x:c r="I31" s="81"/>
    </x:row>
    <x:row r="32">
      <x:c r="A32" s="81"/>
      <x:c r="B32" s="81"/>
      <x:c r="C32" s="81"/>
      <x:c r="D32" s="81"/>
      <x:c r="E32" s="81"/>
      <x:c r="F32" s="81"/>
      <x:c r="G32" s="81"/>
      <x:c r="H32" s="81"/>
      <x:c r="I32" s="81"/>
    </x:row>
    <x:row r="33">
      <x:c r="A33" s="81"/>
      <x:c r="B33" s="81"/>
      <x:c r="C33" s="81"/>
      <x:c r="D33" s="81"/>
      <x:c r="E33" s="81"/>
      <x:c r="F33" s="81"/>
      <x:c r="G33" s="81"/>
      <x:c r="H33" s="81"/>
      <x:c r="I33" s="81"/>
    </x:row>
    <x:row r="34">
      <x:c r="A34" s="81"/>
      <x:c r="B34" s="81"/>
      <x:c r="C34" s="81"/>
      <x:c r="D34" s="81"/>
      <x:c r="E34" s="81"/>
      <x:c r="F34" s="81"/>
      <x:c r="G34" s="81"/>
      <x:c r="H34" s="81"/>
      <x:c r="I34" s="81"/>
    </x:row>
    <x:row r="35">
      <x:c r="A35" s="81"/>
      <x:c r="B35" s="81"/>
      <x:c r="C35" s="81"/>
      <x:c r="D35" s="81"/>
      <x:c r="E35" s="81"/>
      <x:c r="F35" s="81"/>
      <x:c r="G35" s="81"/>
      <x:c r="H35" s="81"/>
      <x:c r="I35" s="81"/>
    </x:row>
    <x:row r="36">
      <x:c r="A36" s="81"/>
      <x:c r="B36" s="81"/>
      <x:c r="C36" s="81"/>
      <x:c r="D36" s="81"/>
      <x:c r="E36" s="81"/>
      <x:c r="F36" s="81"/>
      <x:c r="G36" s="81"/>
      <x:c r="H36" s="81"/>
      <x:c r="I36" s="81"/>
    </x:row>
    <x:row r="37">
      <x:c r="A37" s="81"/>
      <x:c r="B37" s="81"/>
      <x:c r="C37" s="81"/>
      <x:c r="D37" s="81"/>
      <x:c r="E37" s="81"/>
      <x:c r="F37" s="81"/>
      <x:c r="G37" s="81"/>
      <x:c r="H37" s="81"/>
      <x:c r="I37" s="81"/>
    </x:row>
    <x:row r="38">
      <x:c r="A38" s="81"/>
      <x:c r="B38" s="81"/>
      <x:c r="C38" s="81"/>
      <x:c r="D38" s="81"/>
      <x:c r="E38" s="81"/>
      <x:c r="F38" s="81"/>
      <x:c r="G38" s="81"/>
      <x:c r="H38" s="81"/>
      <x:c r="I38" s="81"/>
    </x:row>
    <x:row r="39">
      <x:c r="A39" s="81"/>
      <x:c r="B39" s="81"/>
      <x:c r="C39" s="81"/>
      <x:c r="D39" s="81"/>
      <x:c r="E39" s="81"/>
      <x:c r="F39" s="81"/>
      <x:c r="G39" s="81"/>
      <x:c r="H39" s="81"/>
      <x:c r="I39" s="81"/>
    </x:row>
    <x:row r="40">
      <x:c r="A40" s="81"/>
      <x:c r="B40" s="81"/>
      <x:c r="C40" s="81"/>
      <x:c r="D40" s="81"/>
      <x:c r="E40" s="81"/>
      <x:c r="F40" s="81"/>
      <x:c r="G40" s="81"/>
      <x:c r="H40" s="81"/>
      <x:c r="I40" s="81"/>
    </x:row>
  </x:sheetData>
  <x:conditionalFormatting sqref="H2:H17">
    <x:cfRule type="expression" dxfId="3" priority="1">
      <x:formula>H2="Цель достигнута"</x:formula>
    </x:cfRule>
    <x:cfRule type="expression" dxfId="4" priority="2">
      <x:formula>H2="Нужно внимание"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a5bcafeb2a94f5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5" hidden="0" customWidth="1"/>
    <x:col min="3" max="3" width="18" hidden="0" customWidth="1"/>
    <x:col min="4" max="4" width="18" hidden="0" customWidth="1"/>
    <x:col min="5" max="5" width="13" hidden="0" customWidth="1"/>
    <x:col min="6" max="6" width="13" hidden="0" customWidth="1"/>
    <x:col min="7" max="7" width="13" hidden="0" customWidth="1"/>
    <x:col min="8" max="8" width="16" hidden="0" customWidth="1"/>
    <x:col min="9" max="9" width="26" hidden="0" customWidth="1"/>
  </x:cols>
  <x:sheetData>
    <x:row r="1">
      <x:c r="A1" s="10" t="str">
        <x:v>Артикул</x:v>
      </x:c>
      <x:c r="B1" s="10" t="str">
        <x:v>Товар</x:v>
      </x:c>
      <x:c r="C1" s="10" t="str">
        <x:v>Выручка, ₽</x:v>
      </x:c>
      <x:c r="D1" s="10" t="str">
        <x:v>Чистая прибыль, ₽</x:v>
      </x:c>
      <x:c r="E1" s="10" t="str">
        <x:v>Маржа, %</x:v>
      </x:c>
      <x:c r="F1" s="10" t="str">
        <x:v>ROAS</x:v>
      </x:c>
      <x:c r="G1" s="10" t="str">
        <x:v>Запас, дней</x:v>
      </x:c>
      <x:c r="H1" s="10" t="str">
        <x:v>Статус</x:v>
      </x:c>
      <x:c r="I1" s="10" t="str">
        <x:v>Рекомендация</x:v>
      </x:c>
    </x:row>
    <x:row r="2">
      <x:c r="A2" s="103" t="str">
        <x:v>WB-1042</x:v>
      </x:c>
      <x:c r="B2" s="82" t="str">
        <x:v>Платье миди</x:v>
      </x:c>
      <x:c r="C2" s="105" t="n">
        <x:v>1840000</x:v>
      </x:c>
      <x:c r="D2" s="105" t="n">
        <x:v>423000</x:v>
      </x:c>
      <x:c r="E2" s="123" t="n">
        <x:v>23</x:v>
      </x:c>
      <x:c r="F2" s="123" t="n">
        <x:v>7.2</x:v>
      </x:c>
      <x:c r="G2" s="82" t="n">
        <x:v>28</x:v>
      </x:c>
      <x:c r="H2" s="82" t="str">
        <x:v>Прибыльный</x:v>
      </x:c>
      <x:c r="I2" s="83" t="str">
        <x:v>Увеличить поставку</x:v>
      </x:c>
    </x:row>
    <x:row r="3">
      <x:c r="A3" s="87" t="str">
        <x:v>WB-1088</x:v>
      </x:c>
      <x:c r="B3" s="81" t="str">
        <x:v>Блуза базовая</x:v>
      </x:c>
      <x:c r="C3" s="84" t="n">
        <x:v>1180000</x:v>
      </x:c>
      <x:c r="D3" s="84" t="n">
        <x:v>-68000</x:v>
      </x:c>
      <x:c r="E3" s="124" t="n">
        <x:v>-5.8</x:v>
      </x:c>
      <x:c r="F3" s="124" t="n">
        <x:v>3.1</x:v>
      </x:c>
      <x:c r="G3" s="81" t="n">
        <x:v>116</x:v>
      </x:c>
      <x:c r="H3" s="81" t="str">
        <x:v>Убыточный</x:v>
      </x:c>
      <x:c r="I3" s="85" t="str">
        <x:v>Остановить рекламу</x:v>
      </x:c>
    </x:row>
    <x:row r="4">
      <x:c r="A4" s="87" t="str">
        <x:v>WB-1124</x:v>
      </x:c>
      <x:c r="B4" s="81" t="str">
        <x:v>Жакет оверсайз</x:v>
      </x:c>
      <x:c r="C4" s="84" t="n">
        <x:v>1410000</x:v>
      </x:c>
      <x:c r="D4" s="84" t="n">
        <x:v>92000</x:v>
      </x:c>
      <x:c r="E4" s="124" t="n">
        <x:v>6.5</x:v>
      </x:c>
      <x:c r="F4" s="124" t="n">
        <x:v>3.8</x:v>
      </x:c>
      <x:c r="G4" s="81" t="n">
        <x:v>74</x:v>
      </x:c>
      <x:c r="H4" s="81" t="str">
        <x:v>Зона риска</x:v>
      </x:c>
      <x:c r="I4" s="85" t="str">
        <x:v>Пересчитать цену</x:v>
      </x:c>
    </x:row>
    <x:row r="5">
      <x:c r="A5" s="87" t="str">
        <x:v>WB-1176</x:v>
      </x:c>
      <x:c r="B5" s="81" t="str">
        <x:v>Юбка плиссе</x:v>
      </x:c>
      <x:c r="C5" s="84" t="n">
        <x:v>960000</x:v>
      </x:c>
      <x:c r="D5" s="84" t="n">
        <x:v>-51000</x:v>
      </x:c>
      <x:c r="E5" s="124" t="n">
        <x:v>-5.3</x:v>
      </x:c>
      <x:c r="F5" s="124" t="n">
        <x:v>2.9</x:v>
      </x:c>
      <x:c r="G5" s="81" t="n">
        <x:v>132</x:v>
      </x:c>
      <x:c r="H5" s="81" t="str">
        <x:v>Убыточный</x:v>
      </x:c>
      <x:c r="I5" s="85" t="str">
        <x:v>Не пополнять</x:v>
      </x:c>
    </x:row>
    <x:row r="6">
      <x:c r="A6" s="109" t="str">
        <x:v>WB-1205</x:v>
      </x:c>
      <x:c r="B6" s="110" t="str">
        <x:v>Футболка базовая</x:v>
      </x:c>
      <x:c r="C6" s="111" t="n">
        <x:v>1370000</x:v>
      </x:c>
      <x:c r="D6" s="111" t="n">
        <x:v>246000</x:v>
      </x:c>
      <x:c r="E6" s="125" t="n">
        <x:v>18</x:v>
      </x:c>
      <x:c r="F6" s="125" t="n">
        <x:v>6.4</x:v>
      </x:c>
      <x:c r="G6" s="110" t="n">
        <x:v>22</x:v>
      </x:c>
      <x:c r="H6" s="110" t="str">
        <x:v>Прибыльный</x:v>
      </x:c>
      <x:c r="I6" s="126" t="str">
        <x:v>Пополнить размеры</x:v>
      </x:c>
    </x:row>
    <x:row r="7">
      <x:c r="A7" s="81"/>
      <x:c r="B7" s="81"/>
      <x:c r="C7" s="81"/>
      <x:c r="D7" s="81"/>
      <x:c r="E7" s="81"/>
      <x:c r="F7" s="81"/>
      <x:c r="G7" s="81"/>
      <x:c r="H7" s="81"/>
      <x:c r="I7" s="81"/>
    </x:row>
    <x:row r="8">
      <x:c r="A8" s="81"/>
      <x:c r="B8" s="81"/>
      <x:c r="C8" s="81"/>
      <x:c r="D8" s="81"/>
      <x:c r="E8" s="81"/>
      <x:c r="F8" s="81"/>
      <x:c r="G8" s="81"/>
      <x:c r="H8" s="81"/>
      <x:c r="I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</x:row>
    <x:row r="10">
      <x:c r="A10" s="81"/>
      <x:c r="B10" s="81"/>
      <x:c r="C10" s="81"/>
      <x:c r="D10" s="81"/>
      <x:c r="E10" s="81"/>
      <x:c r="F10" s="81"/>
      <x:c r="G10" s="81"/>
      <x:c r="H10" s="81"/>
      <x:c r="I10" s="81"/>
    </x:row>
    <x:row r="11">
      <x:c r="A11" s="81"/>
      <x:c r="B11" s="81"/>
      <x:c r="C11" s="81"/>
      <x:c r="D11" s="81"/>
      <x:c r="E11" s="81"/>
      <x:c r="F11" s="81"/>
      <x:c r="G11" s="81"/>
      <x:c r="H11" s="81"/>
      <x:c r="I11" s="81"/>
    </x:row>
    <x:row r="12">
      <x:c r="A12" s="81"/>
      <x:c r="B12" s="81"/>
      <x:c r="C12" s="81"/>
      <x:c r="D12" s="81"/>
      <x:c r="E12" s="81"/>
      <x:c r="F12" s="81"/>
      <x:c r="G12" s="81"/>
      <x:c r="H12" s="81"/>
      <x:c r="I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</x:row>
    <x:row r="16">
      <x:c r="A16" s="81"/>
      <x:c r="B16" s="81"/>
      <x:c r="C16" s="81"/>
      <x:c r="D16" s="81"/>
      <x:c r="E16" s="81"/>
      <x:c r="F16" s="81"/>
      <x:c r="G16" s="81"/>
      <x:c r="H16" s="81"/>
      <x:c r="I16" s="81"/>
    </x:row>
    <x:row r="17">
      <x:c r="A17" s="81"/>
      <x:c r="B17" s="81"/>
      <x:c r="C17" s="81"/>
      <x:c r="D17" s="81"/>
      <x:c r="E17" s="81"/>
      <x:c r="F17" s="81"/>
      <x:c r="G17" s="81"/>
      <x:c r="H17" s="81"/>
      <x:c r="I17" s="81"/>
    </x:row>
    <x:row r="18">
      <x:c r="A18" s="81"/>
      <x:c r="B18" s="81"/>
      <x:c r="C18" s="81"/>
      <x:c r="D18" s="81"/>
      <x:c r="E18" s="81"/>
      <x:c r="F18" s="81"/>
      <x:c r="G18" s="81"/>
      <x:c r="H18" s="81"/>
      <x:c r="I18" s="81"/>
    </x:row>
    <x:row r="19">
      <x:c r="A19" s="81"/>
      <x:c r="B19" s="81"/>
      <x:c r="C19" s="81"/>
      <x:c r="D19" s="81"/>
      <x:c r="E19" s="81"/>
      <x:c r="F19" s="81"/>
      <x:c r="G19" s="81"/>
      <x:c r="H19" s="81"/>
      <x:c r="I19" s="81"/>
    </x:row>
    <x:row r="20">
      <x:c r="A20" s="81"/>
      <x:c r="B20" s="81"/>
      <x:c r="C20" s="81"/>
      <x:c r="D20" s="81"/>
      <x:c r="E20" s="81"/>
      <x:c r="F20" s="81"/>
      <x:c r="G20" s="81"/>
      <x:c r="H20" s="81"/>
      <x:c r="I20" s="81"/>
    </x:row>
    <x:row r="21">
      <x:c r="A21" s="81"/>
      <x:c r="B21" s="81"/>
      <x:c r="C21" s="81"/>
      <x:c r="D21" s="81"/>
      <x:c r="E21" s="81"/>
      <x:c r="F21" s="81"/>
      <x:c r="G21" s="81"/>
      <x:c r="H21" s="81"/>
      <x:c r="I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</x:row>
    <x:row r="24">
      <x:c r="A24" s="81"/>
      <x:c r="B24" s="81"/>
      <x:c r="C24" s="81"/>
      <x:c r="D24" s="81"/>
      <x:c r="E24" s="81"/>
      <x:c r="F24" s="81"/>
      <x:c r="G24" s="81"/>
      <x:c r="H24" s="81"/>
      <x:c r="I24" s="81"/>
    </x:row>
    <x:row r="25">
      <x:c r="A25" s="81"/>
      <x:c r="B25" s="81"/>
      <x:c r="C25" s="81"/>
      <x:c r="D25" s="81"/>
      <x:c r="E25" s="81"/>
      <x:c r="F25" s="81"/>
      <x:c r="G25" s="81"/>
      <x:c r="H25" s="81"/>
      <x:c r="I25" s="81"/>
    </x:row>
    <x:row r="26">
      <x:c r="A26" s="81"/>
      <x:c r="B26" s="81"/>
      <x:c r="C26" s="81"/>
      <x:c r="D26" s="81"/>
      <x:c r="E26" s="81"/>
      <x:c r="F26" s="81"/>
      <x:c r="G26" s="81"/>
      <x:c r="H26" s="81"/>
      <x:c r="I26" s="81"/>
    </x:row>
    <x:row r="27">
      <x:c r="A27" s="81"/>
      <x:c r="B27" s="81"/>
      <x:c r="C27" s="81"/>
      <x:c r="D27" s="81"/>
      <x:c r="E27" s="81"/>
      <x:c r="F27" s="81"/>
      <x:c r="G27" s="81"/>
      <x:c r="H27" s="81"/>
      <x:c r="I27" s="81"/>
    </x:row>
    <x:row r="28">
      <x:c r="A28" s="81"/>
      <x:c r="B28" s="81"/>
      <x:c r="C28" s="81"/>
      <x:c r="D28" s="81"/>
      <x:c r="E28" s="81"/>
      <x:c r="F28" s="81"/>
      <x:c r="G28" s="81"/>
      <x:c r="H28" s="81"/>
      <x:c r="I28" s="81"/>
    </x:row>
    <x:row r="29">
      <x:c r="A29" s="81"/>
      <x:c r="B29" s="81"/>
      <x:c r="C29" s="81"/>
      <x:c r="D29" s="81"/>
      <x:c r="E29" s="81"/>
      <x:c r="F29" s="81"/>
      <x:c r="G29" s="81"/>
      <x:c r="H29" s="81"/>
      <x:c r="I29" s="81"/>
    </x:row>
    <x:row r="30">
      <x:c r="A30" s="81"/>
      <x:c r="B30" s="81"/>
      <x:c r="C30" s="81"/>
      <x:c r="D30" s="81"/>
      <x:c r="E30" s="81"/>
      <x:c r="F30" s="81"/>
      <x:c r="G30" s="81"/>
      <x:c r="H30" s="81"/>
      <x:c r="I30" s="81"/>
    </x:row>
    <x:row r="31">
      <x:c r="A31" s="81"/>
      <x:c r="B31" s="81"/>
      <x:c r="C31" s="81"/>
      <x:c r="D31" s="81"/>
      <x:c r="E31" s="81"/>
      <x:c r="F31" s="81"/>
      <x:c r="G31" s="81"/>
      <x:c r="H31" s="81"/>
      <x:c r="I31" s="81"/>
    </x:row>
    <x:row r="32">
      <x:c r="A32" s="81"/>
      <x:c r="B32" s="81"/>
      <x:c r="C32" s="81"/>
      <x:c r="D32" s="81"/>
      <x:c r="E32" s="81"/>
      <x:c r="F32" s="81"/>
      <x:c r="G32" s="81"/>
      <x:c r="H32" s="81"/>
      <x:c r="I32" s="81"/>
    </x:row>
    <x:row r="33">
      <x:c r="A33" s="81"/>
      <x:c r="B33" s="81"/>
      <x:c r="C33" s="81"/>
      <x:c r="D33" s="81"/>
      <x:c r="E33" s="81"/>
      <x:c r="F33" s="81"/>
      <x:c r="G33" s="81"/>
      <x:c r="H33" s="81"/>
      <x:c r="I33" s="81"/>
    </x:row>
    <x:row r="34">
      <x:c r="A34" s="81"/>
      <x:c r="B34" s="81"/>
      <x:c r="C34" s="81"/>
      <x:c r="D34" s="81"/>
      <x:c r="E34" s="81"/>
      <x:c r="F34" s="81"/>
      <x:c r="G34" s="81"/>
      <x:c r="H34" s="81"/>
      <x:c r="I34" s="81"/>
    </x:row>
    <x:row r="35">
      <x:c r="A35" s="81"/>
      <x:c r="B35" s="81"/>
      <x:c r="C35" s="81"/>
      <x:c r="D35" s="81"/>
      <x:c r="E35" s="81"/>
      <x:c r="F35" s="81"/>
      <x:c r="G35" s="81"/>
      <x:c r="H35" s="81"/>
      <x:c r="I35" s="81"/>
    </x:row>
    <x:row r="36">
      <x:c r="A36" s="81"/>
      <x:c r="B36" s="81"/>
      <x:c r="C36" s="81"/>
      <x:c r="D36" s="81"/>
      <x:c r="E36" s="81"/>
      <x:c r="F36" s="81"/>
      <x:c r="G36" s="81"/>
      <x:c r="H36" s="81"/>
      <x:c r="I36" s="81"/>
    </x:row>
    <x:row r="37">
      <x:c r="A37" s="81"/>
      <x:c r="B37" s="81"/>
      <x:c r="C37" s="81"/>
      <x:c r="D37" s="81"/>
      <x:c r="E37" s="81"/>
      <x:c r="F37" s="81"/>
      <x:c r="G37" s="81"/>
      <x:c r="H37" s="81"/>
      <x:c r="I37" s="81"/>
    </x:row>
    <x:row r="38">
      <x:c r="A38" s="81"/>
      <x:c r="B38" s="81"/>
      <x:c r="C38" s="81"/>
      <x:c r="D38" s="81"/>
      <x:c r="E38" s="81"/>
      <x:c r="F38" s="81"/>
      <x:c r="G38" s="81"/>
      <x:c r="H38" s="81"/>
      <x:c r="I38" s="81"/>
    </x:row>
    <x:row r="39">
      <x:c r="A39" s="81"/>
      <x:c r="B39" s="81"/>
      <x:c r="C39" s="81"/>
      <x:c r="D39" s="81"/>
      <x:c r="E39" s="81"/>
      <x:c r="F39" s="81"/>
      <x:c r="G39" s="81"/>
      <x:c r="H39" s="81"/>
      <x:c r="I39" s="81"/>
    </x:row>
    <x:row r="40">
      <x:c r="A40" s="81"/>
      <x:c r="B40" s="81"/>
      <x:c r="C40" s="81"/>
      <x:c r="D40" s="81"/>
      <x:c r="E40" s="81"/>
      <x:c r="F40" s="81"/>
      <x:c r="G40" s="81"/>
      <x:c r="H40" s="81"/>
      <x:c r="I40" s="81"/>
    </x:row>
  </x:sheetData>
  <x:conditionalFormatting sqref="D2:D100">
    <x:cfRule type="cellIs" dxfId="5" priority="1" operator="lessThan">
      <x:formula>0</x:formula>
    </x:cfRule>
  </x:conditionalFormatting>
  <x:conditionalFormatting sqref="E2:E100">
    <x:cfRule type="colorScale" priority="2">
      <x:colorScale>
        <x:cfvo type="min"/>
        <x:cfvo type="percentile" val="50"/>
        <x:cfvo type="max"/>
        <x:color rgb="FFFDE7E7"/>
        <x:color rgb="FFFFF2D8"/>
        <x:color rgb="FFDFF5EF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f408230f76104ef5"/>
  </x:tableParts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Статус</x:v>
      </x:c>
    </x:row>
    <x:row r="2">
      <x:c r="A2" t="str">
        <x:v>Не начато</x:v>
      </x:c>
    </x:row>
    <x:row r="3">
      <x:c r="A3" t="str">
        <x:v>В работе</x:v>
      </x:c>
    </x:row>
    <x:row r="4">
      <x:c r="A4" t="str">
        <x:v>Выполнено</x:v>
      </x:c>
    </x:row>
    <x:row r="5">
      <x:c r="A5" t="str">
        <x:v>Отложено</x:v>
      </x:c>
    </x:row>
  </x:sheetData>
  <x:pageMargins left="0.7" right="0.7" top="0.75" bottom="0.75" header="0.3" footer="0.3"/>
</x:worksheet>
</file>